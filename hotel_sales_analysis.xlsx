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hidePivotFieldList="1" defaultThemeVersion="124226"/>
  <bookViews>
    <workbookView xWindow="240" yWindow="105" windowWidth="14805" windowHeight="8010" activeTab="4"/>
  </bookViews>
  <sheets>
    <sheet name="Бронирование" sheetId="1" r:id="rId1"/>
    <sheet name="Гости" sheetId="2" r:id="rId2"/>
    <sheet name="Номера" sheetId="3" r:id="rId3"/>
    <sheet name="Анализ" sheetId="4" r:id="rId4"/>
    <sheet name="Дашборд" sheetId="5" r:id="rId5"/>
  </sheets>
  <calcPr calcId="152511"/>
  <pivotCaches>
    <pivotCache cacheId="0" r:id="rId6"/>
  </pivotCaches>
</workbook>
</file>

<file path=xl/calcChain.xml><?xml version="1.0" encoding="utf-8"?>
<calcChain xmlns="http://schemas.openxmlformats.org/spreadsheetml/2006/main">
  <c r="J43" i="1" l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B5" i="5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J4" i="1"/>
  <c r="J26" i="1"/>
  <c r="J27" i="1"/>
  <c r="J37" i="1"/>
  <c r="G2" i="1"/>
  <c r="I3" i="1"/>
  <c r="J3" i="1" s="1"/>
  <c r="I4" i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I27" i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I38" i="1"/>
  <c r="J38" i="1" s="1"/>
  <c r="I39" i="1"/>
  <c r="J39" i="1" s="1"/>
  <c r="I40" i="1"/>
  <c r="J40" i="1" s="1"/>
  <c r="I41" i="1"/>
  <c r="J41" i="1" s="1"/>
  <c r="I42" i="1"/>
  <c r="J42" i="1" s="1"/>
  <c r="I43" i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2" i="1"/>
  <c r="J2" i="1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2" i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3" i="3"/>
  <c r="G12" i="1"/>
  <c r="G3" i="1"/>
  <c r="G4" i="1"/>
  <c r="G5" i="1"/>
  <c r="G6" i="1"/>
  <c r="G7" i="1"/>
  <c r="G8" i="1"/>
  <c r="G9" i="1"/>
  <c r="G10" i="1"/>
  <c r="G11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B4" i="5"/>
  <c r="B3" i="5"/>
  <c r="B2" i="5"/>
</calcChain>
</file>

<file path=xl/sharedStrings.xml><?xml version="1.0" encoding="utf-8"?>
<sst xmlns="http://schemas.openxmlformats.org/spreadsheetml/2006/main" count="515" uniqueCount="229">
  <si>
    <t>Бронь_id</t>
  </si>
  <si>
    <t>Дата</t>
  </si>
  <si>
    <t>Гость_id</t>
  </si>
  <si>
    <t>Номер_id</t>
  </si>
  <si>
    <t>Ночей</t>
  </si>
  <si>
    <t>Статус</t>
  </si>
  <si>
    <t>ФИО</t>
  </si>
  <si>
    <t>Город</t>
  </si>
  <si>
    <t>Тип_клиента</t>
  </si>
  <si>
    <t>Тип_номера</t>
  </si>
  <si>
    <t>Цена_за_ночь</t>
  </si>
  <si>
    <t>Этаж</t>
  </si>
  <si>
    <t>Москва</t>
  </si>
  <si>
    <t>Постоянный</t>
  </si>
  <si>
    <t>G002</t>
  </si>
  <si>
    <t>Санкт-Петербург</t>
  </si>
  <si>
    <t>Новый</t>
  </si>
  <si>
    <t>G003</t>
  </si>
  <si>
    <t>Казань</t>
  </si>
  <si>
    <t>G004</t>
  </si>
  <si>
    <t>Екатеринбург</t>
  </si>
  <si>
    <t>VIP</t>
  </si>
  <si>
    <t>G005</t>
  </si>
  <si>
    <t>G006</t>
  </si>
  <si>
    <t>Новосибирск</t>
  </si>
  <si>
    <t>G007</t>
  </si>
  <si>
    <t>Сочи</t>
  </si>
  <si>
    <t>G008</t>
  </si>
  <si>
    <t>G009</t>
  </si>
  <si>
    <t>G010</t>
  </si>
  <si>
    <t>G011</t>
  </si>
  <si>
    <t>G012</t>
  </si>
  <si>
    <t>G013</t>
  </si>
  <si>
    <t>Нижний Новгород</t>
  </si>
  <si>
    <t>G014</t>
  </si>
  <si>
    <t>Самара</t>
  </si>
  <si>
    <t>G015</t>
  </si>
  <si>
    <t>Ростов-на-Дону</t>
  </si>
  <si>
    <t>G016</t>
  </si>
  <si>
    <t>G017</t>
  </si>
  <si>
    <t>Уфа</t>
  </si>
  <si>
    <t>G018</t>
  </si>
  <si>
    <t>Воронеж</t>
  </si>
  <si>
    <t>G019</t>
  </si>
  <si>
    <t>G020</t>
  </si>
  <si>
    <t>G001</t>
  </si>
  <si>
    <t>Иванов Иван Иванович</t>
  </si>
  <si>
    <t>Петров Пётр Сергеевич</t>
  </si>
  <si>
    <t>Сидорова Анна Павловна</t>
  </si>
  <si>
    <t>Козлов Дмитрий Александрович</t>
  </si>
  <si>
    <t>Новикова Елена Владимировна</t>
  </si>
  <si>
    <t>Морозов Сергей Михайлович</t>
  </si>
  <si>
    <t>Лебедева Ольга Дмитриевна</t>
  </si>
  <si>
    <t>Васильев Андрей Николаевич</t>
  </si>
  <si>
    <t>Кузнецова Мария Игоревна</t>
  </si>
  <si>
    <t>Попов Александр Владимирович</t>
  </si>
  <si>
    <t>Смирнова Наталья Алексеевна</t>
  </si>
  <si>
    <t>Соколов Игорь Петрович</t>
  </si>
  <si>
    <t>Павлова Юлия Андреевна</t>
  </si>
  <si>
    <t>Федоров Максим Олегович</t>
  </si>
  <si>
    <t>Кравченко Ольга Борисовна</t>
  </si>
  <si>
    <t>Орлов Дмитрий Евгеньевич</t>
  </si>
  <si>
    <t>Титова Анна Константиновна</t>
  </si>
  <si>
    <t>Жуков Сергей Викторович</t>
  </si>
  <si>
    <t>Зайцева Марина Николаевна</t>
  </si>
  <si>
    <t>Волков Алексей Дмитриевич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</si>
  <si>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</si>
  <si>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</si>
  <si>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</si>
  <si>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</si>
  <si>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</si>
  <si>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</si>
  <si>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</si>
  <si>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</si>
  <si>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</si>
  <si>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</si>
  <si>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</si>
  <si>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</si>
  <si>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</si>
  <si>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</si>
  <si>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</si>
  <si>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</si>
  <si>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</si>
  <si>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</si>
  <si>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</si>
  <si>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</si>
  <si>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</si>
  <si>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</si>
  <si>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</si>
  <si>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</si>
  <si>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</si>
  <si>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Стандарт (DBL)</t>
  </si>
  <si>
    <t>Стандарт (TWIN)</t>
  </si>
  <si>
    <t>Люкс (SUITE)</t>
  </si>
  <si>
    <t>Президентский (PRES)</t>
  </si>
  <si>
    <t>Мест</t>
  </si>
  <si>
    <t>Комфорт (JSDB)</t>
  </si>
  <si>
    <t>Гости</t>
  </si>
  <si>
    <t>Номера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</si>
  <si>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</si>
  <si>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</si>
  <si>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</si>
  <si>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</si>
  <si>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</si>
  <si>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</si>
  <si>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</si>
  <si>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</si>
  <si>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</si>
  <si>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</si>
  <si>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</si>
  <si>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</si>
  <si>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R038</t>
  </si>
  <si>
    <t>R039</t>
  </si>
  <si>
    <t>R040</t>
  </si>
  <si>
    <t>R041</t>
  </si>
  <si>
    <t>R042</t>
  </si>
  <si>
    <t>R043</t>
  </si>
  <si>
    <t>R044</t>
  </si>
  <si>
    <t>R045</t>
  </si>
  <si>
    <t>R046</t>
  </si>
  <si>
    <t>R047</t>
  </si>
  <si>
    <t>R048</t>
  </si>
  <si>
    <t>R049</t>
  </si>
  <si>
    <t>R050</t>
  </si>
  <si>
    <t>R051</t>
  </si>
  <si>
    <t>R052</t>
  </si>
  <si>
    <t>R053</t>
  </si>
  <si>
    <t>R054</t>
  </si>
  <si>
    <t>R055</t>
  </si>
  <si>
    <t>R056</t>
  </si>
  <si>
    <t>R057</t>
  </si>
  <si>
    <t>R058</t>
  </si>
  <si>
    <t>R059</t>
  </si>
  <si>
    <t>R060</t>
  </si>
  <si>
    <t>R061</t>
  </si>
  <si>
    <t>R062</t>
  </si>
  <si>
    <t>R063</t>
  </si>
  <si>
    <t>R064</t>
  </si>
  <si>
    <t>R065</t>
  </si>
  <si>
    <t>R066</t>
  </si>
  <si>
    <t>R067</t>
  </si>
  <si>
    <t>R068</t>
  </si>
  <si>
    <t>R069</t>
  </si>
  <si>
    <t>R070</t>
  </si>
  <si>
    <t>R071</t>
  </si>
  <si>
    <t>R072</t>
  </si>
  <si>
    <t>R073</t>
  </si>
  <si>
    <t>R074</t>
  </si>
  <si>
    <t>R075</t>
  </si>
  <si>
    <t>R076</t>
  </si>
  <si>
    <t>R077</t>
  </si>
  <si>
    <t>R078</t>
  </si>
  <si>
    <t>Дата_заезда</t>
  </si>
  <si>
    <t>BR001</t>
  </si>
  <si>
    <t>BR002</t>
  </si>
  <si>
    <t>BR003</t>
  </si>
  <si>
    <t>BR004</t>
  </si>
  <si>
    <t>BR005</t>
  </si>
  <si>
    <t>BR006</t>
  </si>
  <si>
    <t>BR007</t>
  </si>
  <si>
    <t>BR008</t>
  </si>
  <si>
    <t>BR009</t>
  </si>
  <si>
    <t>BR010</t>
  </si>
  <si>
    <t>BR011</t>
  </si>
  <si>
    <t>BR012</t>
  </si>
  <si>
    <t>BR013</t>
  </si>
  <si>
    <t>BR014</t>
  </si>
  <si>
    <t>BR015</t>
  </si>
  <si>
    <t>BR016</t>
  </si>
  <si>
    <t>BR017</t>
  </si>
  <si>
    <t>BR018</t>
  </si>
  <si>
    <t>BR019</t>
  </si>
  <si>
    <t>BR020</t>
  </si>
  <si>
    <t>BR021</t>
  </si>
  <si>
    <t>BR022</t>
  </si>
  <si>
    <t>BR023</t>
  </si>
  <si>
    <t>BR024</t>
  </si>
  <si>
    <t>BR025</t>
  </si>
  <si>
    <t>BR026</t>
  </si>
  <si>
    <t>BR027</t>
  </si>
  <si>
    <t>BR028</t>
  </si>
  <si>
    <t>BR029</t>
  </si>
  <si>
    <t>BR030</t>
  </si>
  <si>
    <t>BR031</t>
  </si>
  <si>
    <t>BR032</t>
  </si>
  <si>
    <t>BR033</t>
  </si>
  <si>
    <t>BR034</t>
  </si>
  <si>
    <t>BR035</t>
  </si>
  <si>
    <t>BR036</t>
  </si>
  <si>
    <t>BR037</t>
  </si>
  <si>
    <t>BR038</t>
  </si>
  <si>
    <t>BR039</t>
  </si>
  <si>
    <t>BR040</t>
  </si>
  <si>
    <t>BR041</t>
  </si>
  <si>
    <t>BR042</t>
  </si>
  <si>
    <t>BR043</t>
  </si>
  <si>
    <t>BR044</t>
  </si>
  <si>
    <t>BR045</t>
  </si>
  <si>
    <t>BR046</t>
  </si>
  <si>
    <t>BR047</t>
  </si>
  <si>
    <t>BR048</t>
  </si>
  <si>
    <t>BR049</t>
  </si>
  <si>
    <t>BR050</t>
  </si>
  <si>
    <t>BR051</t>
  </si>
  <si>
    <t>BR052</t>
  </si>
  <si>
    <t>BR053</t>
  </si>
  <si>
    <t>Отмена</t>
  </si>
  <si>
    <t>Занято</t>
  </si>
  <si>
    <t>В ожидании</t>
  </si>
  <si>
    <t>Тип_номера (ВПР)</t>
  </si>
  <si>
    <t>ФИО (ВПР)</t>
  </si>
  <si>
    <t>Цена_за_ночь (ВПР)</t>
  </si>
  <si>
    <t>Выручка</t>
  </si>
  <si>
    <t>Дата_выезда</t>
  </si>
  <si>
    <t>Общий итог</t>
  </si>
  <si>
    <t>Сумма по полю Выручка</t>
  </si>
  <si>
    <t>Февраль 2026</t>
  </si>
  <si>
    <t>Январь 2026</t>
  </si>
  <si>
    <t>Выручка по типам номеров</t>
  </si>
  <si>
    <t>Выручка по месяцам</t>
  </si>
  <si>
    <t>Статусы бронирования</t>
  </si>
  <si>
    <t>Доля_Статуса</t>
  </si>
  <si>
    <t>Количество_броней</t>
  </si>
  <si>
    <t>Топ клиентов по выручке</t>
  </si>
  <si>
    <t>Дашборд продаж гостиницы</t>
  </si>
  <si>
    <t>Общая сумма:</t>
  </si>
  <si>
    <t>Всего бронирований:</t>
  </si>
  <si>
    <t>Уровень отмен:</t>
  </si>
  <si>
    <t>Средний чек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</si>
</sst>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\ &quot;₽&quot;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/>
    <xf numFmtId="0" fontId="0" fillId="0" borderId="1" xfId="0" applyNumberFormat="1" applyBorder="1" applyAlignment="1">
      <alignment horizontal="left" vertical="center"/>
    </xf>
    <xf numFmtId="0" fontId="0" fillId="0" borderId="1" xfId="0" applyFont="1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/>
    <xf numFmtId="0" fontId="0" fillId="0" borderId="0" xfId="0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0" fillId="0" borderId="0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4" fontId="0" fillId="0" borderId="1" xfId="0" applyNumberFormat="1" applyFont="1" applyBorder="1"/>
    <xf numFmtId="1" fontId="0" fillId="0" borderId="1" xfId="0" applyNumberFormat="1" applyFont="1" applyBorder="1"/>
    <xf numFmtId="0" fontId="0" fillId="0" borderId="0" xfId="0" applyFont="1"/>
    <xf numFmtId="164" fontId="0" fillId="0" borderId="1" xfId="0" applyNumberFormat="1" applyBorder="1"/>
    <xf numFmtId="0" fontId="2" fillId="0" borderId="2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2" fillId="2" borderId="9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164" fontId="0" fillId="0" borderId="3" xfId="0" applyNumberFormat="1" applyFont="1" applyBorder="1"/>
    <xf numFmtId="0" fontId="4" fillId="7" borderId="9" xfId="0" applyFont="1" applyFill="1" applyBorder="1" applyAlignment="1">
      <alignment horizontal="center" vertical="center"/>
    </xf>
    <xf numFmtId="0" fontId="0" fillId="0" borderId="2" xfId="0" applyFont="1" applyBorder="1"/>
    <xf numFmtId="0" fontId="0" fillId="0" borderId="4" xfId="0" applyFont="1" applyBorder="1"/>
    <xf numFmtId="0" fontId="0" fillId="0" borderId="5" xfId="0" applyFont="1" applyBorder="1"/>
    <xf numFmtId="14" fontId="0" fillId="0" borderId="5" xfId="0" applyNumberFormat="1" applyFont="1" applyBorder="1"/>
    <xf numFmtId="1" fontId="0" fillId="0" borderId="5" xfId="0" applyNumberFormat="1" applyFont="1" applyBorder="1"/>
    <xf numFmtId="0" fontId="0" fillId="0" borderId="5" xfId="0" applyFont="1" applyBorder="1" applyAlignment="1">
      <alignment horizontal="center"/>
    </xf>
    <xf numFmtId="164" fontId="0" fillId="0" borderId="6" xfId="0" applyNumberFormat="1" applyFont="1" applyBorder="1"/>
    <xf numFmtId="14" fontId="0" fillId="0" borderId="1" xfId="0" applyNumberFormat="1" applyFont="1" applyBorder="1" applyAlignment="1">
      <alignment horizontal="left"/>
    </xf>
    <xf numFmtId="0" fontId="0" fillId="0" borderId="1" xfId="0" pivotButton="1" applyBorder="1"/>
    <xf numFmtId="0" fontId="0" fillId="0" borderId="1" xfId="0" applyBorder="1" applyAlignment="1">
      <alignment horizontal="left"/>
    </xf>
    <xf numFmtId="0" fontId="1" fillId="0" borderId="1" xfId="0" pivotButton="1" applyFont="1" applyBorder="1"/>
    <xf numFmtId="10" fontId="0" fillId="0" borderId="1" xfId="0" applyNumberFormat="1" applyBorder="1"/>
    <xf numFmtId="0" fontId="1" fillId="3" borderId="1" xfId="0" applyFont="1" applyFill="1" applyBorder="1" applyAlignment="1">
      <alignment wrapText="1"/>
    </xf>
    <xf numFmtId="164" fontId="1" fillId="3" borderId="1" xfId="0" applyNumberFormat="1" applyFont="1" applyFill="1" applyBorder="1"/>
    <xf numFmtId="0" fontId="0" fillId="4" borderId="1" xfId="0" applyFill="1" applyBorder="1"/>
    <xf numFmtId="10" fontId="0" fillId="4" borderId="1" xfId="0" applyNumberFormat="1" applyFill="1" applyBorder="1"/>
    <xf numFmtId="0" fontId="0" fillId="6" borderId="1" xfId="0" applyFill="1" applyBorder="1"/>
    <xf numFmtId="164" fontId="0" fillId="6" borderId="1" xfId="0" applyNumberFormat="1" applyFill="1" applyBorder="1"/>
    <xf numFmtId="14" fontId="0" fillId="0" borderId="5" xfId="0" applyNumberFormat="1" applyFont="1" applyBorder="1" applyAlignment="1">
      <alignment horizontal="left"/>
    </xf>
    <xf numFmtId="14" fontId="0" fillId="0" borderId="0" xfId="0" applyNumberFormat="1" applyFont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65">
    <dxf>
      <numFmt numFmtId="164" formatCode="#,##0\ &quot;₽&quot;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readingOrder="0"/>
    </dxf>
    <dxf>
      <alignment vertical="center" readingOrder="0"/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\ &quot;₽&quot;"/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\ &quot;₽&quot;"/>
    </dxf>
    <dxf>
      <numFmt numFmtId="164" formatCode="#,##0\ &quot;₽&quot;"/>
    </dxf>
    <dxf>
      <numFmt numFmtId="164" formatCode="#,##0\ &quot;₽&quot;"/>
    </dxf>
    <dxf>
      <numFmt numFmtId="164" formatCode="#,##0\ &quot;₽&quot;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#,##0\ &quot;₽&quot;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#,##0\ &quot;₽&quot;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colors>
    <mruColors>
      <color rgb="FF99CC00"/>
      <color rgb="FFE3DE00"/>
      <color rgb="FFFFFF66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[Анализ Продаж Гостиницы.xlsx]Анализ!СводнаяТаблица1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Выручка</a:t>
            </a:r>
            <a:r>
              <a:rPr lang="ru-RU" baseline="0"/>
              <a:t> по типам номеров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</c:pivotFmt>
      <c:pivotFmt>
        <c:idx val="4"/>
        <c:spPr>
          <a:solidFill>
            <a:schemeClr val="accent3"/>
          </a:solidFill>
          <a:ln>
            <a:noFill/>
          </a:ln>
          <a:effectLst/>
        </c:spPr>
      </c:pivotFmt>
      <c:pivotFmt>
        <c:idx val="5"/>
        <c:spPr>
          <a:solidFill>
            <a:schemeClr val="accent3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Анализ!$B$1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cat>
            <c:strRef>
              <c:f>Анализ!$A$2:$A$6</c:f>
              <c:strCache>
                <c:ptCount val="4"/>
                <c:pt idx="0">
                  <c:v>Комфорт (JSDB)</c:v>
                </c:pt>
                <c:pt idx="1">
                  <c:v>Люкс (SUITE)</c:v>
                </c:pt>
                <c:pt idx="2">
                  <c:v>Стандарт (DBL)</c:v>
                </c:pt>
                <c:pt idx="3">
                  <c:v>Стандарт (TWIN)</c:v>
                </c:pt>
              </c:strCache>
            </c:strRef>
          </c:cat>
          <c:val>
            <c:numRef>
              <c:f>Анализ!$B$2:$B$6</c:f>
              <c:numCache>
                <c:formatCode>#\ ##0\ "₽"</c:formatCode>
                <c:ptCount val="4"/>
                <c:pt idx="0">
                  <c:v>274500</c:v>
                </c:pt>
                <c:pt idx="1">
                  <c:v>22650</c:v>
                </c:pt>
                <c:pt idx="2">
                  <c:v>225500</c:v>
                </c:pt>
                <c:pt idx="3">
                  <c:v>237800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0328240"/>
        <c:axId val="540327848"/>
      </c:barChart>
      <c:catAx>
        <c:axId val="540328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0327848"/>
        <c:crosses val="autoZero"/>
        <c:auto val="1"/>
        <c:lblAlgn val="ctr"/>
        <c:lblOffset val="100"/>
        <c:noMultiLvlLbl val="0"/>
      </c:catAx>
      <c:valAx>
        <c:axId val="540327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\ &quot;₽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0328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[Анализ Продаж Гостиницы.xlsx]Анализ!СводнаяТаблица2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</a:t>
            </a:r>
            <a:r>
              <a:rPr lang="ru-RU" baseline="0"/>
              <a:t> по месяцам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FFFF66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rgbClr val="E3DE00"/>
          </a:solidFill>
          <a:ln>
            <a:noFill/>
          </a:ln>
          <a:effectLst/>
        </c:spPr>
      </c:pivotFmt>
      <c:pivotFmt>
        <c:idx val="4"/>
        <c:spPr>
          <a:solidFill>
            <a:schemeClr val="accent3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Анализ!$E$1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rgbClr val="FFFF66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3DE00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cat>
            <c:strRef>
              <c:f>Анализ!$D$2:$D$4</c:f>
              <c:strCache>
                <c:ptCount val="2"/>
                <c:pt idx="0">
                  <c:v>Февраль 2026</c:v>
                </c:pt>
                <c:pt idx="1">
                  <c:v>Январь 2026</c:v>
                </c:pt>
              </c:strCache>
            </c:strRef>
          </c:cat>
          <c:val>
            <c:numRef>
              <c:f>Анализ!$E$2:$E$4</c:f>
              <c:numCache>
                <c:formatCode>#\ ##0\ "₽"</c:formatCode>
                <c:ptCount val="2"/>
                <c:pt idx="0">
                  <c:v>330200</c:v>
                </c:pt>
                <c:pt idx="1">
                  <c:v>430250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0328632"/>
        <c:axId val="540330984"/>
      </c:barChart>
      <c:catAx>
        <c:axId val="540328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0330984"/>
        <c:crosses val="autoZero"/>
        <c:auto val="1"/>
        <c:lblAlgn val="ctr"/>
        <c:lblOffset val="100"/>
        <c:noMultiLvlLbl val="0"/>
      </c:catAx>
      <c:valAx>
        <c:axId val="540330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\ &quot;₽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0328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[Анализ Продаж Гостиницы.xlsx]Анализ!СводнаяТаблица3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Статусы бронирования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Анализ!$E$14</c:f>
              <c:strCache>
                <c:ptCount val="1"/>
                <c:pt idx="0">
                  <c:v>Количество_броней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Анализ!$D$15:$D$18</c:f>
              <c:strCache>
                <c:ptCount val="3"/>
                <c:pt idx="0">
                  <c:v>В ожидании</c:v>
                </c:pt>
                <c:pt idx="1">
                  <c:v>Занято</c:v>
                </c:pt>
                <c:pt idx="2">
                  <c:v>Отмена</c:v>
                </c:pt>
              </c:strCache>
            </c:strRef>
          </c:cat>
          <c:val>
            <c:numRef>
              <c:f>Анализ!$E$15:$E$18</c:f>
              <c:numCache>
                <c:formatCode>General</c:formatCode>
                <c:ptCount val="3"/>
                <c:pt idx="0">
                  <c:v>1</c:v>
                </c:pt>
                <c:pt idx="1">
                  <c:v>38</c:v>
                </c:pt>
                <c:pt idx="2">
                  <c:v>14</c:v>
                </c:pt>
              </c:numCache>
            </c:numRef>
          </c:val>
        </c:ser>
        <c:ser>
          <c:idx val="1"/>
          <c:order val="1"/>
          <c:tx>
            <c:strRef>
              <c:f>Анализ!$F$14</c:f>
              <c:strCache>
                <c:ptCount val="1"/>
                <c:pt idx="0">
                  <c:v>Доля_Статуса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Анализ!$D$15:$D$18</c:f>
              <c:strCache>
                <c:ptCount val="3"/>
                <c:pt idx="0">
                  <c:v>В ожидании</c:v>
                </c:pt>
                <c:pt idx="1">
                  <c:v>Занято</c:v>
                </c:pt>
                <c:pt idx="2">
                  <c:v>Отмена</c:v>
                </c:pt>
              </c:strCache>
            </c:strRef>
          </c:cat>
          <c:val>
            <c:numRef>
              <c:f>Анализ!$F$15:$F$18</c:f>
              <c:numCache>
                <c:formatCode>0.00%</c:formatCode>
                <c:ptCount val="3"/>
                <c:pt idx="0">
                  <c:v>1.8867924528301886E-2</c:v>
                </c:pt>
                <c:pt idx="1">
                  <c:v>0.71698113207547165</c:v>
                </c:pt>
                <c:pt idx="2">
                  <c:v>0.26415094339622641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[Анализ Продаж Гостиницы.xlsx]Анализ!СводнаяТаблица4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Топ</a:t>
            </a:r>
            <a:r>
              <a:rPr lang="ru-RU" baseline="0"/>
              <a:t> клиентов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rgbClr val="99CC00"/>
          </a:solidFill>
          <a:ln>
            <a:noFill/>
          </a:ln>
          <a:effectLst/>
        </c:spPr>
      </c:pivotFmt>
      <c:pivotFmt>
        <c:idx val="4"/>
        <c:spPr>
          <a:solidFill>
            <a:srgbClr val="99CC00"/>
          </a:solidFill>
          <a:ln>
            <a:noFill/>
          </a:ln>
          <a:effectLst/>
        </c:spPr>
      </c:pivotFmt>
      <c:pivotFmt>
        <c:idx val="5"/>
        <c:spPr>
          <a:solidFill>
            <a:srgbClr val="99CC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Анализ!$B$14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9CC00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99CC00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rgbClr val="99CC00"/>
              </a:solidFill>
              <a:ln>
                <a:noFill/>
              </a:ln>
              <a:effectLst/>
            </c:spPr>
          </c:dPt>
          <c:cat>
            <c:strRef>
              <c:f>Анализ!$A$15:$A$32</c:f>
              <c:strCache>
                <c:ptCount val="17"/>
                <c:pt idx="0">
                  <c:v>Новикова Елена Владимировна</c:v>
                </c:pt>
                <c:pt idx="1">
                  <c:v>Смирнова Наталья Алексеевна</c:v>
                </c:pt>
                <c:pt idx="2">
                  <c:v>Жуков Сергей Викторович</c:v>
                </c:pt>
                <c:pt idx="3">
                  <c:v>Козлов Дмитрий Александрович</c:v>
                </c:pt>
                <c:pt idx="4">
                  <c:v>Соколов Игорь Петрович</c:v>
                </c:pt>
                <c:pt idx="5">
                  <c:v>Попов Александр Владимирович</c:v>
                </c:pt>
                <c:pt idx="6">
                  <c:v>Волков Алексей Дмитриевич</c:v>
                </c:pt>
                <c:pt idx="7">
                  <c:v>Орлов Дмитрий Евгеньевич</c:v>
                </c:pt>
                <c:pt idx="8">
                  <c:v>Петров Пётр Сергеевич</c:v>
                </c:pt>
                <c:pt idx="9">
                  <c:v>Павлова Юлия Андреевна</c:v>
                </c:pt>
                <c:pt idx="10">
                  <c:v>Морозов Сергей Михайлович</c:v>
                </c:pt>
                <c:pt idx="11">
                  <c:v>Сидорова Анна Павловна</c:v>
                </c:pt>
                <c:pt idx="12">
                  <c:v>Васильев Андрей Николаевич</c:v>
                </c:pt>
                <c:pt idx="13">
                  <c:v>Зайцева Марина Николаевна</c:v>
                </c:pt>
                <c:pt idx="14">
                  <c:v>Кузнецова Мария Игоревна</c:v>
                </c:pt>
                <c:pt idx="15">
                  <c:v>Федоров Максим Олегович</c:v>
                </c:pt>
                <c:pt idx="16">
                  <c:v>Титова Анна Константиновна</c:v>
                </c:pt>
              </c:strCache>
            </c:strRef>
          </c:cat>
          <c:val>
            <c:numRef>
              <c:f>Анализ!$B$15:$B$32</c:f>
              <c:numCache>
                <c:formatCode>#\ ##0\ "₽"</c:formatCode>
                <c:ptCount val="17"/>
                <c:pt idx="0">
                  <c:v>95800</c:v>
                </c:pt>
                <c:pt idx="1">
                  <c:v>92600</c:v>
                </c:pt>
                <c:pt idx="2">
                  <c:v>70100</c:v>
                </c:pt>
                <c:pt idx="3">
                  <c:v>58500</c:v>
                </c:pt>
                <c:pt idx="4">
                  <c:v>45100</c:v>
                </c:pt>
                <c:pt idx="5">
                  <c:v>45100</c:v>
                </c:pt>
                <c:pt idx="6">
                  <c:v>44200</c:v>
                </c:pt>
                <c:pt idx="7">
                  <c:v>43150</c:v>
                </c:pt>
                <c:pt idx="8">
                  <c:v>42600</c:v>
                </c:pt>
                <c:pt idx="9">
                  <c:v>41000</c:v>
                </c:pt>
                <c:pt idx="10">
                  <c:v>37300</c:v>
                </c:pt>
                <c:pt idx="11">
                  <c:v>33600</c:v>
                </c:pt>
                <c:pt idx="12">
                  <c:v>31500</c:v>
                </c:pt>
                <c:pt idx="13">
                  <c:v>26200</c:v>
                </c:pt>
                <c:pt idx="14">
                  <c:v>25000</c:v>
                </c:pt>
                <c:pt idx="15">
                  <c:v>20500</c:v>
                </c:pt>
                <c:pt idx="16">
                  <c:v>8200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7784200"/>
        <c:axId val="647787336"/>
      </c:barChart>
      <c:catAx>
        <c:axId val="647784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7787336"/>
        <c:crosses val="autoZero"/>
        <c:auto val="1"/>
        <c:lblAlgn val="ctr"/>
        <c:lblOffset val="100"/>
        <c:noMultiLvlLbl val="0"/>
      </c:catAx>
      <c:valAx>
        <c:axId val="647787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\ &quot;₽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7784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7</xdr:row>
      <xdr:rowOff>9525</xdr:rowOff>
    </xdr:from>
    <xdr:to>
      <xdr:col>4</xdr:col>
      <xdr:colOff>38100</xdr:colOff>
      <xdr:row>21</xdr:row>
      <xdr:rowOff>85725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114300</xdr:colOff>
      <xdr:row>7</xdr:row>
      <xdr:rowOff>9525</xdr:rowOff>
    </xdr:from>
    <xdr:to>
      <xdr:col>11</xdr:col>
      <xdr:colOff>266700</xdr:colOff>
      <xdr:row>21</xdr:row>
      <xdr:rowOff>85725</xdr:rowOff>
    </xdr:to>
    <xdr:graphicFrame macro="">
      <xdr:nvGraphicFramePr>
        <xdr:cNvPr id="5" name="Диаграмма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22</xdr:row>
      <xdr:rowOff>9524</xdr:rowOff>
    </xdr:from>
    <xdr:to>
      <xdr:col>4</xdr:col>
      <xdr:colOff>28575</xdr:colOff>
      <xdr:row>34</xdr:row>
      <xdr:rowOff>152399</xdr:rowOff>
    </xdr:to>
    <xdr:graphicFrame macro="">
      <xdr:nvGraphicFramePr>
        <xdr:cNvPr id="6" name="Диаграмма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133350</xdr:colOff>
      <xdr:row>21</xdr:row>
      <xdr:rowOff>180975</xdr:rowOff>
    </xdr:from>
    <xdr:to>
      <xdr:col>11</xdr:col>
      <xdr:colOff>285750</xdr:colOff>
      <xdr:row>34</xdr:row>
      <xdr:rowOff>123825</xdr:rowOff>
    </xdr:to>
    <xdr:graphicFrame macro="">
      <xdr:nvGraphicFramePr>
        <xdr:cNvPr id="7" name="Диаграмма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&#1040;&#1085;&#1072;&#1083;&#1080;&#1079;%20&#1055;&#1088;&#1086;&#1076;&#1072;&#1078;%20&#1043;&#1086;&#1089;&#1090;&#1080;&#1085;&#1080;&#1094;&#1099;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Автор" refreshedDate="46083.819476851852" createdVersion="5" refreshedVersion="5" minRefreshableVersion="3" recordCount="53">
  <cacheSource type="worksheet">
    <worksheetSource name="Booking" r:id="rId2"/>
  </cacheSource>
  <cacheFields count="13">
    <cacheField name="Бронь_id" numFmtId="0">
      <sharedItems count="53">
        <s v="BR001"/>
        <s v="BR002"/>
        <s v="BR003"/>
        <s v="BR004"/>
        <s v="BR005"/>
        <s v="BR006"/>
        <s v="BR007"/>
        <s v="BR008"/>
        <s v="BR009"/>
        <s v="BR010"/>
        <s v="BR011"/>
        <s v="BR012"/>
        <s v="BR013"/>
        <s v="BR014"/>
        <s v="BR015"/>
        <s v="BR016"/>
        <s v="BR017"/>
        <s v="BR018"/>
        <s v="BR019"/>
        <s v="BR020"/>
        <s v="BR021"/>
        <s v="BR022"/>
        <s v="BR023"/>
        <s v="BR024"/>
        <s v="BR025"/>
        <s v="BR026"/>
        <s v="BR027"/>
        <s v="BR028"/>
        <s v="BR029"/>
        <s v="BR030"/>
        <s v="BR031"/>
        <s v="BR032"/>
        <s v="BR033"/>
        <s v="BR034"/>
        <s v="BR035"/>
        <s v="BR036"/>
        <s v="BR037"/>
        <s v="BR038"/>
        <s v="BR039"/>
        <s v="BR040"/>
        <s v="BR041"/>
        <s v="BR042"/>
        <s v="BR043"/>
        <s v="BR044"/>
        <s v="BR045"/>
        <s v="BR046"/>
        <s v="BR047"/>
        <s v="BR048"/>
        <s v="BR049"/>
        <s v="BR050"/>
        <s v="BR051"/>
        <s v="BR052"/>
        <s v="BR053"/>
      </sharedItems>
    </cacheField>
    <cacheField name="Гость_id" numFmtId="0">
      <sharedItems/>
    </cacheField>
    <cacheField name="Номер_id" numFmtId="0">
      <sharedItems/>
    </cacheField>
    <cacheField name="Дата_заезда" numFmtId="14">
      <sharedItems containsSemiMixedTypes="0" containsNonDate="0" containsDate="1" containsString="0" minDate="2026-01-04T00:00:00" maxDate="2026-02-26T00:00:00"/>
    </cacheField>
    <cacheField name="Ночей" numFmtId="1">
      <sharedItems containsSemiMixedTypes="0" containsString="0" containsNumber="1" containsInteger="1" minValue="1" maxValue="6"/>
    </cacheField>
    <cacheField name="Статус" numFmtId="0">
      <sharedItems count="3">
        <s v="Отмена"/>
        <s v="Занято"/>
        <s v="В ожидании"/>
      </sharedItems>
    </cacheField>
    <cacheField name="ФИО (ВПР)" numFmtId="0">
      <sharedItems count="17">
        <s v="Павлова Юлия Андреевна"/>
        <s v="Петров Пётр Сергеевич"/>
        <s v="Смирнова Наталья Алексеевна"/>
        <s v="Орлов Дмитрий Евгеньевич"/>
        <s v="Морозов Сергей Михайлович"/>
        <s v="Кузнецова Мария Игоревна"/>
        <s v="Волков Алексей Дмитриевич"/>
        <s v="Жуков Сергей Викторович"/>
        <s v="Федоров Максим Олегович"/>
        <s v="Козлов Дмитрий Александрович"/>
        <s v="Сидорова Анна Павловна"/>
        <s v="Попов Александр Владимирович"/>
        <s v="Новикова Елена Владимировна"/>
        <s v="Васильев Андрей Николаевич"/>
        <s v="Титова Анна Константиновна"/>
        <s v="Зайцева Марина Николаевна"/>
        <s v="Соколов Игорь Петрович"/>
      </sharedItems>
    </cacheField>
    <cacheField name="Тип_номера (ВПР)" numFmtId="0">
      <sharedItems count="4">
        <s v="Стандарт (DBL)"/>
        <s v="Комфорт (JSDB)"/>
        <s v="Люкс (SUITE)"/>
        <s v="Стандарт (TWIN)"/>
      </sharedItems>
    </cacheField>
    <cacheField name="Цена_за_ночь (ВПР)" numFmtId="164">
      <sharedItems containsSemiMixedTypes="0" containsString="0" containsNumber="1" containsInteger="1" minValue="4100" maxValue="7550"/>
    </cacheField>
    <cacheField name="Выручка" numFmtId="164">
      <sharedItems containsSemiMixedTypes="0" containsString="0" containsNumber="1" containsInteger="1" minValue="4100" maxValue="27000"/>
    </cacheField>
    <cacheField name="Дата_выезда" numFmtId="14">
      <sharedItems containsSemiMixedTypes="0" containsNonDate="0" containsDate="1" containsString="0" minDate="2026-01-09T00:00:00" maxDate="2026-03-03T00:00:00"/>
    </cacheField>
    <cacheField name="Месяц" numFmtId="0">
      <sharedItems containsSemiMixedTypes="0" containsString="0" containsNumber="1" containsInteger="1" minValue="1" maxValue="2"/>
    </cacheField>
    <cacheField name="Дата" numFmtId="14">
      <sharedItems count="2">
        <s v="Январь 2026"/>
        <s v="Февраль 202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3">
  <r>
    <x v="0"/>
    <s v="G013"/>
    <s v="R019"/>
    <d v="2026-01-04T00:00:00"/>
    <n v="6"/>
    <x v="0"/>
    <x v="0"/>
    <x v="0"/>
    <n v="4100"/>
    <n v="24600"/>
    <d v="2026-01-10T00:00:00"/>
    <n v="1"/>
    <x v="0"/>
  </r>
  <r>
    <x v="1"/>
    <s v="G002"/>
    <s v="R057"/>
    <d v="2026-01-05T00:00:00"/>
    <n v="4"/>
    <x v="0"/>
    <x v="1"/>
    <x v="1"/>
    <n v="4500"/>
    <n v="18000"/>
    <d v="2026-01-09T00:00:00"/>
    <n v="1"/>
    <x v="0"/>
  </r>
  <r>
    <x v="2"/>
    <s v="G011"/>
    <s v="R078"/>
    <d v="2026-01-06T00:00:00"/>
    <n v="5"/>
    <x v="1"/>
    <x v="2"/>
    <x v="1"/>
    <n v="4500"/>
    <n v="22500"/>
    <d v="2026-01-11T00:00:00"/>
    <n v="1"/>
    <x v="0"/>
  </r>
  <r>
    <x v="3"/>
    <s v="G016"/>
    <s v="R060"/>
    <d v="2026-01-07T00:00:00"/>
    <n v="3"/>
    <x v="0"/>
    <x v="3"/>
    <x v="2"/>
    <n v="7550"/>
    <n v="22650"/>
    <d v="2026-01-10T00:00:00"/>
    <n v="1"/>
    <x v="0"/>
  </r>
  <r>
    <x v="4"/>
    <s v="G006"/>
    <s v="R054"/>
    <d v="2026-01-08T00:00:00"/>
    <n v="1"/>
    <x v="1"/>
    <x v="4"/>
    <x v="3"/>
    <n v="4100"/>
    <n v="4100"/>
    <d v="2026-01-09T00:00:00"/>
    <n v="1"/>
    <x v="0"/>
  </r>
  <r>
    <x v="5"/>
    <s v="G016"/>
    <s v="R051"/>
    <d v="2026-01-09T00:00:00"/>
    <n v="4"/>
    <x v="1"/>
    <x v="3"/>
    <x v="0"/>
    <n v="4100"/>
    <n v="16400"/>
    <d v="2026-01-13T00:00:00"/>
    <n v="1"/>
    <x v="0"/>
  </r>
  <r>
    <x v="6"/>
    <s v="G009"/>
    <s v="R026"/>
    <d v="2026-01-10T00:00:00"/>
    <n v="2"/>
    <x v="0"/>
    <x v="5"/>
    <x v="3"/>
    <n v="4100"/>
    <n v="8200"/>
    <d v="2026-01-12T00:00:00"/>
    <n v="1"/>
    <x v="0"/>
  </r>
  <r>
    <x v="7"/>
    <s v="G020"/>
    <s v="R078"/>
    <d v="2026-01-11T00:00:00"/>
    <n v="3"/>
    <x v="1"/>
    <x v="6"/>
    <x v="1"/>
    <n v="4500"/>
    <n v="13500"/>
    <d v="2026-01-14T00:00:00"/>
    <n v="1"/>
    <x v="0"/>
  </r>
  <r>
    <x v="8"/>
    <s v="G018"/>
    <s v="R050"/>
    <d v="2026-01-12T00:00:00"/>
    <n v="6"/>
    <x v="1"/>
    <x v="7"/>
    <x v="3"/>
    <n v="4100"/>
    <n v="24600"/>
    <d v="2026-01-18T00:00:00"/>
    <n v="1"/>
    <x v="0"/>
  </r>
  <r>
    <x v="9"/>
    <s v="G014"/>
    <s v="R020"/>
    <d v="2026-01-13T00:00:00"/>
    <n v="2"/>
    <x v="1"/>
    <x v="8"/>
    <x v="3"/>
    <n v="4100"/>
    <n v="8200"/>
    <d v="2026-01-15T00:00:00"/>
    <n v="1"/>
    <x v="0"/>
  </r>
  <r>
    <x v="10"/>
    <s v="G018"/>
    <s v="R072"/>
    <d v="2026-01-14T00:00:00"/>
    <n v="1"/>
    <x v="1"/>
    <x v="7"/>
    <x v="1"/>
    <n v="4500"/>
    <n v="4500"/>
    <d v="2026-01-15T00:00:00"/>
    <n v="1"/>
    <x v="0"/>
  </r>
  <r>
    <x v="11"/>
    <s v="G004"/>
    <s v="R038"/>
    <d v="2026-01-15T00:00:00"/>
    <n v="2"/>
    <x v="1"/>
    <x v="9"/>
    <x v="1"/>
    <n v="4500"/>
    <n v="9000"/>
    <d v="2026-01-17T00:00:00"/>
    <n v="1"/>
    <x v="0"/>
  </r>
  <r>
    <x v="12"/>
    <s v="G002"/>
    <s v="R041"/>
    <d v="2026-01-16T00:00:00"/>
    <n v="3"/>
    <x v="1"/>
    <x v="1"/>
    <x v="0"/>
    <n v="4100"/>
    <n v="12300"/>
    <d v="2026-01-19T00:00:00"/>
    <n v="1"/>
    <x v="0"/>
  </r>
  <r>
    <x v="13"/>
    <s v="G009"/>
    <s v="R043"/>
    <d v="2026-01-17T00:00:00"/>
    <n v="1"/>
    <x v="1"/>
    <x v="5"/>
    <x v="1"/>
    <n v="4500"/>
    <n v="4500"/>
    <d v="2026-01-18T00:00:00"/>
    <n v="1"/>
    <x v="0"/>
  </r>
  <r>
    <x v="14"/>
    <s v="G003"/>
    <s v="R002"/>
    <d v="2026-01-18T00:00:00"/>
    <n v="6"/>
    <x v="1"/>
    <x v="10"/>
    <x v="3"/>
    <n v="4100"/>
    <n v="24600"/>
    <d v="2026-01-24T00:00:00"/>
    <n v="1"/>
    <x v="0"/>
  </r>
  <r>
    <x v="15"/>
    <s v="G020"/>
    <s v="R005"/>
    <d v="2026-01-19T00:00:00"/>
    <n v="4"/>
    <x v="1"/>
    <x v="6"/>
    <x v="1"/>
    <n v="4500"/>
    <n v="18000"/>
    <d v="2026-01-23T00:00:00"/>
    <n v="1"/>
    <x v="0"/>
  </r>
  <r>
    <x v="16"/>
    <s v="G006"/>
    <s v="R010"/>
    <d v="2026-01-20T00:00:00"/>
    <n v="1"/>
    <x v="1"/>
    <x v="4"/>
    <x v="3"/>
    <n v="4100"/>
    <n v="4100"/>
    <d v="2026-01-21T00:00:00"/>
    <n v="1"/>
    <x v="0"/>
  </r>
  <r>
    <x v="17"/>
    <s v="G004"/>
    <s v="R039"/>
    <d v="2026-01-21T00:00:00"/>
    <n v="6"/>
    <x v="1"/>
    <x v="9"/>
    <x v="1"/>
    <n v="4500"/>
    <n v="27000"/>
    <d v="2026-01-27T00:00:00"/>
    <n v="1"/>
    <x v="0"/>
  </r>
  <r>
    <x v="18"/>
    <s v="G010"/>
    <s v="R029"/>
    <d v="2026-01-22T00:00:00"/>
    <n v="4"/>
    <x v="1"/>
    <x v="11"/>
    <x v="0"/>
    <n v="4100"/>
    <n v="16400"/>
    <d v="2026-01-26T00:00:00"/>
    <n v="1"/>
    <x v="0"/>
  </r>
  <r>
    <x v="19"/>
    <s v="G005"/>
    <s v="R076"/>
    <d v="2026-01-23T00:00:00"/>
    <n v="6"/>
    <x v="1"/>
    <x v="12"/>
    <x v="1"/>
    <n v="4500"/>
    <n v="27000"/>
    <d v="2026-01-29T00:00:00"/>
    <n v="1"/>
    <x v="0"/>
  </r>
  <r>
    <x v="20"/>
    <s v="G020"/>
    <s v="R008"/>
    <d v="2026-01-24T00:00:00"/>
    <n v="2"/>
    <x v="1"/>
    <x v="6"/>
    <x v="3"/>
    <n v="4100"/>
    <n v="8200"/>
    <d v="2026-01-26T00:00:00"/>
    <n v="1"/>
    <x v="0"/>
  </r>
  <r>
    <x v="21"/>
    <s v="G006"/>
    <s v="R006"/>
    <d v="2026-01-25T00:00:00"/>
    <n v="6"/>
    <x v="1"/>
    <x v="4"/>
    <x v="3"/>
    <n v="4100"/>
    <n v="24600"/>
    <d v="2026-01-31T00:00:00"/>
    <n v="1"/>
    <x v="0"/>
  </r>
  <r>
    <x v="22"/>
    <s v="G009"/>
    <s v="R004"/>
    <d v="2026-01-26T00:00:00"/>
    <n v="3"/>
    <x v="0"/>
    <x v="5"/>
    <x v="3"/>
    <n v="4100"/>
    <n v="12300"/>
    <d v="2026-01-29T00:00:00"/>
    <n v="1"/>
    <x v="0"/>
  </r>
  <r>
    <x v="23"/>
    <s v="G008"/>
    <s v="R058"/>
    <d v="2026-01-27T00:00:00"/>
    <n v="3"/>
    <x v="1"/>
    <x v="13"/>
    <x v="1"/>
    <n v="4500"/>
    <n v="13500"/>
    <d v="2026-01-30T00:00:00"/>
    <n v="1"/>
    <x v="0"/>
  </r>
  <r>
    <x v="24"/>
    <s v="G018"/>
    <s v="R013"/>
    <d v="2026-01-28T00:00:00"/>
    <n v="3"/>
    <x v="0"/>
    <x v="7"/>
    <x v="0"/>
    <n v="4100"/>
    <n v="12300"/>
    <d v="2026-01-31T00:00:00"/>
    <n v="1"/>
    <x v="0"/>
  </r>
  <r>
    <x v="25"/>
    <s v="G002"/>
    <s v="R071"/>
    <d v="2026-01-29T00:00:00"/>
    <n v="2"/>
    <x v="1"/>
    <x v="1"/>
    <x v="0"/>
    <n v="4100"/>
    <n v="8200"/>
    <d v="2026-01-31T00:00:00"/>
    <n v="1"/>
    <x v="0"/>
  </r>
  <r>
    <x v="26"/>
    <s v="G010"/>
    <s v="R047"/>
    <d v="2026-01-30T00:00:00"/>
    <n v="4"/>
    <x v="1"/>
    <x v="11"/>
    <x v="0"/>
    <n v="4100"/>
    <n v="16400"/>
    <d v="2026-02-03T00:00:00"/>
    <n v="1"/>
    <x v="0"/>
  </r>
  <r>
    <x v="27"/>
    <s v="G011"/>
    <s v="R006"/>
    <d v="2026-01-31T00:00:00"/>
    <n v="6"/>
    <x v="1"/>
    <x v="2"/>
    <x v="3"/>
    <n v="4100"/>
    <n v="24600"/>
    <d v="2026-02-06T00:00:00"/>
    <n v="1"/>
    <x v="0"/>
  </r>
  <r>
    <x v="28"/>
    <s v="G017"/>
    <s v="R045"/>
    <d v="2026-02-01T00:00:00"/>
    <n v="2"/>
    <x v="0"/>
    <x v="14"/>
    <x v="0"/>
    <n v="4100"/>
    <n v="8200"/>
    <d v="2026-02-03T00:00:00"/>
    <n v="2"/>
    <x v="1"/>
  </r>
  <r>
    <x v="29"/>
    <s v="G020"/>
    <s v="R067"/>
    <d v="2026-02-02T00:00:00"/>
    <n v="1"/>
    <x v="1"/>
    <x v="6"/>
    <x v="1"/>
    <n v="4500"/>
    <n v="4500"/>
    <d v="2026-02-03T00:00:00"/>
    <n v="2"/>
    <x v="1"/>
  </r>
  <r>
    <x v="30"/>
    <s v="G011"/>
    <s v="R047"/>
    <d v="2026-02-03T00:00:00"/>
    <n v="5"/>
    <x v="1"/>
    <x v="2"/>
    <x v="0"/>
    <n v="4100"/>
    <n v="20500"/>
    <d v="2026-02-08T00:00:00"/>
    <n v="2"/>
    <x v="1"/>
  </r>
  <r>
    <x v="31"/>
    <s v="G010"/>
    <s v="R009"/>
    <d v="2026-02-04T00:00:00"/>
    <n v="3"/>
    <x v="0"/>
    <x v="11"/>
    <x v="0"/>
    <n v="4100"/>
    <n v="12300"/>
    <d v="2026-02-07T00:00:00"/>
    <n v="2"/>
    <x v="1"/>
  </r>
  <r>
    <x v="32"/>
    <s v="G005"/>
    <s v="R022"/>
    <d v="2026-02-05T00:00:00"/>
    <n v="4"/>
    <x v="1"/>
    <x v="12"/>
    <x v="3"/>
    <n v="4100"/>
    <n v="16400"/>
    <d v="2026-02-09T00:00:00"/>
    <n v="2"/>
    <x v="1"/>
  </r>
  <r>
    <x v="33"/>
    <s v="G019"/>
    <s v="R058"/>
    <d v="2026-02-06T00:00:00"/>
    <n v="4"/>
    <x v="0"/>
    <x v="15"/>
    <x v="1"/>
    <n v="4500"/>
    <n v="18000"/>
    <d v="2026-02-10T00:00:00"/>
    <n v="2"/>
    <x v="1"/>
  </r>
  <r>
    <x v="34"/>
    <s v="G019"/>
    <s v="R001"/>
    <d v="2026-02-07T00:00:00"/>
    <n v="2"/>
    <x v="1"/>
    <x v="15"/>
    <x v="0"/>
    <n v="4100"/>
    <n v="8200"/>
    <d v="2026-02-09T00:00:00"/>
    <n v="2"/>
    <x v="1"/>
  </r>
  <r>
    <x v="35"/>
    <s v="G011"/>
    <s v="R042"/>
    <d v="2026-02-08T00:00:00"/>
    <n v="5"/>
    <x v="1"/>
    <x v="2"/>
    <x v="3"/>
    <n v="4100"/>
    <n v="20500"/>
    <d v="2026-02-13T00:00:00"/>
    <n v="2"/>
    <x v="1"/>
  </r>
  <r>
    <x v="36"/>
    <s v="G002"/>
    <s v="R032"/>
    <d v="2026-02-09T00:00:00"/>
    <n v="1"/>
    <x v="1"/>
    <x v="1"/>
    <x v="3"/>
    <n v="4100"/>
    <n v="4100"/>
    <d v="2026-02-10T00:00:00"/>
    <n v="2"/>
    <x v="1"/>
  </r>
  <r>
    <x v="37"/>
    <s v="G011"/>
    <s v="R056"/>
    <d v="2026-02-10T00:00:00"/>
    <n v="1"/>
    <x v="0"/>
    <x v="2"/>
    <x v="1"/>
    <n v="4500"/>
    <n v="4500"/>
    <d v="2026-02-11T00:00:00"/>
    <n v="2"/>
    <x v="1"/>
  </r>
  <r>
    <x v="38"/>
    <s v="G012"/>
    <s v="R068"/>
    <d v="2026-02-11T00:00:00"/>
    <n v="6"/>
    <x v="1"/>
    <x v="16"/>
    <x v="3"/>
    <n v="4100"/>
    <n v="24600"/>
    <d v="2026-02-17T00:00:00"/>
    <n v="2"/>
    <x v="1"/>
  </r>
  <r>
    <x v="39"/>
    <s v="G005"/>
    <s v="R077"/>
    <d v="2026-02-12T00:00:00"/>
    <n v="3"/>
    <x v="0"/>
    <x v="12"/>
    <x v="0"/>
    <n v="4100"/>
    <n v="12300"/>
    <d v="2026-02-15T00:00:00"/>
    <n v="2"/>
    <x v="1"/>
  </r>
  <r>
    <x v="40"/>
    <s v="G013"/>
    <s v="R001"/>
    <d v="2026-02-13T00:00:00"/>
    <n v="4"/>
    <x v="1"/>
    <x v="0"/>
    <x v="0"/>
    <n v="4100"/>
    <n v="16400"/>
    <d v="2026-02-17T00:00:00"/>
    <n v="2"/>
    <x v="1"/>
  </r>
  <r>
    <x v="41"/>
    <s v="G018"/>
    <s v="R052"/>
    <d v="2026-02-14T00:00:00"/>
    <n v="1"/>
    <x v="0"/>
    <x v="7"/>
    <x v="3"/>
    <n v="4100"/>
    <n v="4100"/>
    <d v="2026-02-15T00:00:00"/>
    <n v="2"/>
    <x v="1"/>
  </r>
  <r>
    <x v="42"/>
    <s v="G008"/>
    <s v="R058"/>
    <d v="2026-02-15T00:00:00"/>
    <n v="4"/>
    <x v="1"/>
    <x v="13"/>
    <x v="1"/>
    <n v="4500"/>
    <n v="18000"/>
    <d v="2026-02-19T00:00:00"/>
    <n v="2"/>
    <x v="1"/>
  </r>
  <r>
    <x v="43"/>
    <s v="G016"/>
    <s v="R033"/>
    <d v="2026-02-16T00:00:00"/>
    <n v="1"/>
    <x v="2"/>
    <x v="3"/>
    <x v="0"/>
    <n v="4100"/>
    <n v="4100"/>
    <d v="2026-02-17T00:00:00"/>
    <n v="2"/>
    <x v="1"/>
  </r>
  <r>
    <x v="44"/>
    <s v="G005"/>
    <s v="R039"/>
    <d v="2026-02-17T00:00:00"/>
    <n v="6"/>
    <x v="1"/>
    <x v="12"/>
    <x v="1"/>
    <n v="4500"/>
    <n v="27000"/>
    <d v="2026-02-23T00:00:00"/>
    <n v="2"/>
    <x v="1"/>
  </r>
  <r>
    <x v="45"/>
    <s v="G003"/>
    <s v="R038"/>
    <d v="2026-02-18T00:00:00"/>
    <n v="2"/>
    <x v="0"/>
    <x v="10"/>
    <x v="1"/>
    <n v="4500"/>
    <n v="9000"/>
    <d v="2026-02-20T00:00:00"/>
    <n v="2"/>
    <x v="1"/>
  </r>
  <r>
    <x v="46"/>
    <s v="G005"/>
    <s v="R029"/>
    <d v="2026-02-19T00:00:00"/>
    <n v="1"/>
    <x v="1"/>
    <x v="12"/>
    <x v="0"/>
    <n v="4100"/>
    <n v="4100"/>
    <d v="2026-02-20T00:00:00"/>
    <n v="2"/>
    <x v="1"/>
  </r>
  <r>
    <x v="47"/>
    <s v="G018"/>
    <s v="R074"/>
    <d v="2026-02-20T00:00:00"/>
    <n v="6"/>
    <x v="1"/>
    <x v="7"/>
    <x v="3"/>
    <n v="4100"/>
    <n v="24600"/>
    <d v="2026-02-26T00:00:00"/>
    <n v="2"/>
    <x v="1"/>
  </r>
  <r>
    <x v="48"/>
    <s v="G014"/>
    <s v="R053"/>
    <d v="2026-02-21T00:00:00"/>
    <n v="3"/>
    <x v="1"/>
    <x v="8"/>
    <x v="0"/>
    <n v="4100"/>
    <n v="12300"/>
    <d v="2026-02-24T00:00:00"/>
    <n v="2"/>
    <x v="1"/>
  </r>
  <r>
    <x v="49"/>
    <s v="G004"/>
    <s v="R078"/>
    <d v="2026-02-22T00:00:00"/>
    <n v="5"/>
    <x v="1"/>
    <x v="9"/>
    <x v="1"/>
    <n v="4500"/>
    <n v="22500"/>
    <d v="2026-02-27T00:00:00"/>
    <n v="2"/>
    <x v="1"/>
  </r>
  <r>
    <x v="50"/>
    <s v="G006"/>
    <s v="R039"/>
    <d v="2026-02-23T00:00:00"/>
    <n v="1"/>
    <x v="0"/>
    <x v="4"/>
    <x v="1"/>
    <n v="4500"/>
    <n v="4500"/>
    <d v="2026-02-24T00:00:00"/>
    <n v="2"/>
    <x v="1"/>
  </r>
  <r>
    <x v="51"/>
    <s v="G005"/>
    <s v="R067"/>
    <d v="2026-02-24T00:00:00"/>
    <n v="2"/>
    <x v="1"/>
    <x v="12"/>
    <x v="1"/>
    <n v="4500"/>
    <n v="9000"/>
    <d v="2026-02-26T00:00:00"/>
    <n v="2"/>
    <x v="1"/>
  </r>
  <r>
    <x v="52"/>
    <s v="G012"/>
    <s v="R075"/>
    <d v="2026-02-25T00:00:00"/>
    <n v="5"/>
    <x v="1"/>
    <x v="16"/>
    <x v="0"/>
    <n v="4100"/>
    <n v="20500"/>
    <d v="2026-03-02T00:00:00"/>
    <n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Таблица4" cacheId="0" applyNumberFormats="0" applyBorderFormats="0" applyFontFormats="0" applyPatternFormats="0" applyAlignmentFormats="0" applyWidthHeightFormats="1" dataCaption="Значения" updatedVersion="5" minRefreshableVersion="3" useAutoFormatting="1" itemPrintTitles="1" createdVersion="5" indent="0" outline="1" outlineData="1" multipleFieldFilters="0" chartFormat="10" rowHeaderCaption="Топ клиентов по выручке">
  <location ref="A14:B32" firstHeaderRow="1" firstDataRow="1" firstDataCol="1"/>
  <pivotFields count="13">
    <pivotField showAll="0"/>
    <pivotField showAll="0"/>
    <pivotField showAll="0"/>
    <pivotField numFmtId="14" showAll="0"/>
    <pivotField numFmtId="1" showAll="0"/>
    <pivotField showAll="0"/>
    <pivotField axis="axisRow" showAll="0" sortType="descending">
      <items count="18">
        <item x="8"/>
        <item x="14"/>
        <item x="16"/>
        <item x="2"/>
        <item x="10"/>
        <item x="11"/>
        <item x="1"/>
        <item x="0"/>
        <item x="3"/>
        <item x="12"/>
        <item x="4"/>
        <item x="5"/>
        <item x="9"/>
        <item x="15"/>
        <item x="7"/>
        <item x="6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dataField="1" numFmtId="164" showAll="0"/>
    <pivotField numFmtId="14" showAll="0"/>
    <pivotField showAll="0"/>
    <pivotField showAll="0"/>
  </pivotFields>
  <rowFields count="1">
    <field x="6"/>
  </rowFields>
  <rowItems count="18">
    <i>
      <x v="9"/>
    </i>
    <i>
      <x v="3"/>
    </i>
    <i>
      <x v="14"/>
    </i>
    <i>
      <x v="12"/>
    </i>
    <i>
      <x v="2"/>
    </i>
    <i>
      <x v="5"/>
    </i>
    <i>
      <x v="15"/>
    </i>
    <i>
      <x v="8"/>
    </i>
    <i>
      <x v="6"/>
    </i>
    <i>
      <x v="7"/>
    </i>
    <i>
      <x v="10"/>
    </i>
    <i>
      <x v="4"/>
    </i>
    <i>
      <x v="16"/>
    </i>
    <i>
      <x v="13"/>
    </i>
    <i>
      <x v="11"/>
    </i>
    <i>
      <x/>
    </i>
    <i>
      <x v="1"/>
    </i>
    <i t="grand">
      <x/>
    </i>
  </rowItems>
  <colItems count="1">
    <i/>
  </colItems>
  <dataFields count="1">
    <dataField name="Сумма по полю Выручка" fld="9" baseField="0" baseItem="0" numFmtId="164"/>
  </dataFields>
  <formats count="7">
    <format dxfId="6">
      <pivotArea type="all" dataOnly="0" outline="0" fieldPosition="0"/>
    </format>
    <format dxfId="5">
      <pivotArea outline="0" collapsedLevelsAreSubtotals="1" fieldPosition="0"/>
    </format>
    <format dxfId="4">
      <pivotArea field="6" type="button" dataOnly="0" labelOnly="1" outline="0" axis="axisRow" fieldPosition="0"/>
    </format>
    <format dxfId="3">
      <pivotArea dataOnly="0" labelOnly="1" outline="0" axis="axisValues" fieldPosition="0"/>
    </format>
    <format dxfId="2">
      <pivotArea dataOnly="0" labelOnly="1" fieldPosition="0">
        <references count="1">
          <reference field="6" count="0"/>
        </references>
      </pivotArea>
    </format>
    <format dxfId="1">
      <pivotArea dataOnly="0" labelOnly="1" grandRow="1" outline="0" fieldPosition="0"/>
    </format>
    <format dxfId="0">
      <pivotArea outline="0" collapsedLevelsAreSubtotals="1" fieldPosition="0"/>
    </format>
  </formats>
  <chartFormats count="5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9"/>
          </reference>
        </references>
      </pivotArea>
    </chartFormat>
    <chartFormat chart="9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9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14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СводнаяТаблица3" cacheId="0" applyNumberFormats="0" applyBorderFormats="0" applyFontFormats="0" applyPatternFormats="0" applyAlignmentFormats="0" applyWidthHeightFormats="1" dataCaption="Значения" updatedVersion="5" minRefreshableVersion="3" useAutoFormatting="1" itemPrintTitles="1" createdVersion="5" indent="0" outline="1" outlineData="1" multipleFieldFilters="0" chartFormat="5" rowHeaderCaption="Статусы бронирования">
  <location ref="D14:F18" firstHeaderRow="0" firstDataRow="1" firstDataCol="1"/>
  <pivotFields count="13">
    <pivotField dataField="1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showAll="0"/>
    <pivotField showAll="0"/>
    <pivotField numFmtId="14" showAll="0"/>
    <pivotField numFmtId="1"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numFmtId="164" showAll="0"/>
    <pivotField numFmtId="164" showAll="0"/>
    <pivotField numFmtId="14"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Количество_броней" fld="0" subtotal="count" baseField="0" baseItem="0"/>
    <dataField name="Доля_Статуса" fld="0" subtotal="count" showDataAs="percentOfTotal" baseField="0" baseItem="0" numFmtId="10"/>
  </dataFields>
  <formats count="9"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5" type="button" dataOnly="0" labelOnly="1" outline="0" axis="axisRow" fieldPosition="0"/>
    </format>
    <format dxfId="12">
      <pivotArea dataOnly="0" labelOnly="1" outline="0" axis="axisValues" fieldPosition="0"/>
    </format>
    <format dxfId="11">
      <pivotArea dataOnly="0" labelOnly="1" fieldPosition="0">
        <references count="1">
          <reference field="5" count="0"/>
        </references>
      </pivotArea>
    </format>
    <format dxfId="10">
      <pivotArea dataOnly="0" labelOnly="1" grandRow="1" outline="0" fieldPosition="0"/>
    </format>
    <format dxfId="9">
      <pivotArea outline="0" fieldPosition="0">
        <references count="1">
          <reference field="4294967294" count="1">
            <x v="1"/>
          </reference>
        </references>
      </pivotArea>
    </format>
    <format dxfId="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10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1"/>
          </reference>
          <reference field="5" count="1" selected="0">
            <x v="0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1"/>
          </reference>
          <reference field="5" count="1" selected="0">
            <x v="1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1"/>
          </reference>
          <reference field="5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СводнаяТаблица2" cacheId="0" applyNumberFormats="0" applyBorderFormats="0" applyFontFormats="0" applyPatternFormats="0" applyAlignmentFormats="0" applyWidthHeightFormats="1" dataCaption="Значения" updatedVersion="5" minRefreshableVersion="3" useAutoFormatting="1" itemPrintTitles="1" createdVersion="5" indent="0" outline="1" outlineData="1" multipleFieldFilters="0" chartFormat="8" rowHeaderCaption="Выручка по месяцам">
  <location ref="D1:E4" firstHeaderRow="1" firstDataRow="1" firstDataCol="1"/>
  <pivotFields count="13">
    <pivotField showAll="0"/>
    <pivotField showAll="0"/>
    <pivotField showAll="0"/>
    <pivotField numFmtId="14" showAll="0"/>
    <pivotField numFmtId="1" showAll="0"/>
    <pivotField showAll="0"/>
    <pivotField showAll="0"/>
    <pivotField showAll="0"/>
    <pivotField numFmtId="164" showAll="0"/>
    <pivotField dataField="1" numFmtId="164" showAll="0"/>
    <pivotField numFmtId="14" showAll="0"/>
    <pivotField showAll="0"/>
    <pivotField axis="axisRow" showAll="0">
      <items count="3">
        <item x="1"/>
        <item x="0"/>
        <item t="default"/>
      </items>
    </pivotField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Сумма по полю Выручка" fld="9" baseField="0" baseItem="0" numFmtId="164"/>
  </dataFields>
  <formats count="8">
    <format dxfId="23">
      <pivotArea field="12" type="button" dataOnly="0" labelOnly="1" outline="0" axis="axisRow" fieldPosition="0"/>
    </format>
    <format dxfId="22">
      <pivotArea outline="0" collapsedLevelsAreSubtotals="1" fieldPosition="0"/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12" type="button" dataOnly="0" labelOnly="1" outline="0" axis="axisRow" fieldPosition="0"/>
    </format>
    <format dxfId="18">
      <pivotArea dataOnly="0" labelOnly="1" outline="0" axis="axisValues" fieldPosition="0"/>
    </format>
    <format dxfId="17">
      <pivotArea dataOnly="0" labelOnly="1" fieldPosition="0">
        <references count="1">
          <reference field="12" count="0"/>
        </references>
      </pivotArea>
    </format>
    <format dxfId="16">
      <pivotArea dataOnly="0" labelOnly="1" grandRow="1" outline="0" fieldPosition="0"/>
    </format>
  </format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СводнаяТаблица1" cacheId="0" applyNumberFormats="0" applyBorderFormats="0" applyFontFormats="0" applyPatternFormats="0" applyAlignmentFormats="0" applyWidthHeightFormats="1" dataCaption="Значения" updatedVersion="5" minRefreshableVersion="3" useAutoFormatting="1" itemPrintTitles="1" createdVersion="5" indent="0" outline="1" outlineData="1" multipleFieldFilters="0" chartFormat="20" rowHeaderCaption="Выручка по типам номеров">
  <location ref="A1:B6" firstHeaderRow="1" firstDataRow="1" firstDataCol="1"/>
  <pivotFields count="13">
    <pivotField showAll="0"/>
    <pivotField showAll="0"/>
    <pivotField showAll="0"/>
    <pivotField numFmtId="14" showAll="0"/>
    <pivotField numFmtId="1"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numFmtId="164" showAll="0"/>
    <pivotField dataField="1" numFmtId="164" showAll="0"/>
    <pivotField numFmtId="14"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Сумма по полю Выручка" fld="9" baseField="0" baseItem="0"/>
  </dataFields>
  <formats count="10">
    <format dxfId="33">
      <pivotArea collapsedLevelsAreSubtotals="1" fieldPosition="0">
        <references count="1">
          <reference field="7" count="1">
            <x v="0"/>
          </reference>
        </references>
      </pivotArea>
    </format>
    <format dxfId="32">
      <pivotArea dataOnly="0" labelOnly="1" outline="0" axis="axisValues" fieldPosition="0"/>
    </format>
    <format dxfId="31">
      <pivotArea collapsedLevelsAreSubtotals="1" fieldPosition="0">
        <references count="1">
          <reference field="7" count="3">
            <x v="1"/>
            <x v="2"/>
            <x v="3"/>
          </reference>
        </references>
      </pivotArea>
    </format>
    <format dxfId="30">
      <pivotArea grandRow="1" outline="0" collapsedLevelsAreSubtotals="1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7" type="button" dataOnly="0" labelOnly="1" outline="0" axis="axisRow" fieldPosition="0"/>
    </format>
    <format dxfId="26">
      <pivotArea dataOnly="0" labelOnly="1" outline="0" axis="axisValues" fieldPosition="0"/>
    </format>
    <format dxfId="25">
      <pivotArea dataOnly="0" labelOnly="1" fieldPosition="0">
        <references count="1">
          <reference field="7" count="0"/>
        </references>
      </pivotArea>
    </format>
    <format dxfId="24">
      <pivotArea dataOnly="0" labelOnly="1" grandRow="1" outline="0" fieldPosition="0"/>
    </format>
  </formats>
  <chartFormats count="4"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9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9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3" name="Booking" displayName="Booking" ref="A1:L54" totalsRowShown="0" headerRowDxfId="64" dataDxfId="63" tableBorderDxfId="62">
  <autoFilter ref="A1:L54"/>
  <tableColumns count="12">
    <tableColumn id="1" name="Бронь_id" dataDxfId="61"/>
    <tableColumn id="2" name="Гость_id" dataDxfId="60"/>
    <tableColumn id="3" name="Номер_id" dataDxfId="59"/>
    <tableColumn id="4" name="Дата_заезда" dataDxfId="58"/>
    <tableColumn id="5" name="Ночей" dataDxfId="57"/>
    <tableColumn id="6" name="Статус" dataDxfId="56"/>
    <tableColumn id="7" name="ФИО (ВПР)" dataDxfId="55">
      <calculatedColumnFormula>VLOOKUP(B2, Guests[],2,FALSE)</calculatedColumnFormula>
    </tableColumn>
    <tableColumn id="8" name="Тип_номера (ВПР)" dataDxfId="54">
      <calculatedColumnFormula>VLOOKUP(C2, Rooms[], 2, FALSE)</calculatedColumnFormula>
    </tableColumn>
    <tableColumn id="9" name="Цена_за_ночь (ВПР)" dataDxfId="53">
      <calculatedColumnFormula>VLOOKUP(C2, Rooms[], 3, FALSE)</calculatedColumnFormula>
    </tableColumn>
    <tableColumn id="10" name="Выручка" dataDxfId="52">
      <calculatedColumnFormula>Booking[[#This Row],[Цена_за_ночь (ВПР)]]*Booking[[#This Row],[Ночей]]</calculatedColumnFormula>
    </tableColumn>
    <tableColumn id="11" name="Дата_выезда" dataDxfId="51">
      <calculatedColumnFormula>Booking[[#This Row],[Дата_заезда]] + Booking[[#This Row],[Ночей]]</calculatedColumnFormula>
    </tableColumn>
    <tableColumn id="13" name="Дата" dataDxfId="50">
      <calculatedColumnFormula>TEXT(Booking[[#This Row],[Дата_заезда]], "ММММ ГГГГ")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id="1" name="Guests" displayName="Guests" ref="A2:D22" totalsRowShown="0" headerRowDxfId="49" dataDxfId="47" headerRowBorderDxfId="48" tableBorderDxfId="46" totalsRowBorderDxfId="45">
  <autoFilter ref="A2:D22"/>
  <tableColumns count="4">
    <tableColumn id="1" name="Гость_id" dataDxfId="44"/>
    <tableColumn id="2" name="ФИО" dataDxfId="43"/>
    <tableColumn id="3" name="Город" dataDxfId="42"/>
    <tableColumn id="4" name="Тип_клиента" dataDxfId="41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id="2" name="Rooms" displayName="Rooms" ref="A2:E80" totalsRowShown="0" headerRowDxfId="40" dataDxfId="39">
  <autoFilter ref="A2:E80"/>
  <tableColumns count="5">
    <tableColumn id="1" name="Номер_id" dataDxfId="38"/>
    <tableColumn id="2" name="Тип_номера" dataDxfId="37"/>
    <tableColumn id="3" name="Цена_за_ночь" dataDxfId="36">
      <calculatedColumnFormula>IF(B3="Стандарт (DBL)",4100, IF(B3="Стандарт (TWIN)",4100, IF(B3="Комфорт (JSDB)",4500, IF(B3="Люкс (SUITE)",7550, IF(B3="Президентский (PRES)",9600)))))</calculatedColumnFormula>
    </tableColumn>
    <tableColumn id="4" name="Мест" dataDxfId="35"/>
    <tableColumn id="5" name="Этаж" dataDxfId="34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1"/>
  <sheetViews>
    <sheetView zoomScaleNormal="100" workbookViewId="0">
      <pane ySplit="1" topLeftCell="A2" activePane="bottomLeft" state="frozen"/>
      <selection activeCell="C1" sqref="C1"/>
      <selection pane="bottomLeft" activeCell="K26" sqref="K26"/>
    </sheetView>
  </sheetViews>
  <sheetFormatPr defaultRowHeight="15" x14ac:dyDescent="0.25"/>
  <cols>
    <col min="1" max="1" width="15.85546875" bestFit="1" customWidth="1"/>
    <col min="2" max="2" width="15" bestFit="1" customWidth="1"/>
    <col min="3" max="3" width="16.5703125" bestFit="1" customWidth="1"/>
    <col min="4" max="4" width="19.5703125" bestFit="1" customWidth="1"/>
    <col min="5" max="5" width="13.140625" bestFit="1" customWidth="1"/>
    <col min="6" max="6" width="13" bestFit="1" customWidth="1"/>
    <col min="7" max="7" width="33.5703125" bestFit="1" customWidth="1"/>
    <col min="8" max="8" width="25.5703125" bestFit="1" customWidth="1"/>
    <col min="9" max="9" width="27.28515625" bestFit="1" customWidth="1"/>
    <col min="10" max="10" width="15.28515625" bestFit="1" customWidth="1"/>
    <col min="11" max="11" width="20.28515625" bestFit="1" customWidth="1"/>
    <col min="12" max="12" width="14.5703125" customWidth="1"/>
  </cols>
  <sheetData>
    <row r="1" spans="1:12" ht="15.75" x14ac:dyDescent="0.25">
      <c r="A1" s="16" t="s">
        <v>0</v>
      </c>
      <c r="B1" s="11" t="s">
        <v>2</v>
      </c>
      <c r="C1" s="11" t="s">
        <v>3</v>
      </c>
      <c r="D1" s="11" t="s">
        <v>152</v>
      </c>
      <c r="E1" s="11" t="s">
        <v>4</v>
      </c>
      <c r="F1" s="11" t="s">
        <v>5</v>
      </c>
      <c r="G1" s="18" t="s">
        <v>210</v>
      </c>
      <c r="H1" s="18" t="s">
        <v>209</v>
      </c>
      <c r="I1" s="19" t="s">
        <v>211</v>
      </c>
      <c r="J1" s="21" t="s">
        <v>212</v>
      </c>
      <c r="K1" s="21" t="s">
        <v>213</v>
      </c>
      <c r="L1" s="21" t="s">
        <v>1</v>
      </c>
    </row>
    <row r="2" spans="1:12" x14ac:dyDescent="0.25">
      <c r="A2" s="22" t="s">
        <v>153</v>
      </c>
      <c r="B2" s="3" t="s">
        <v>32</v>
      </c>
      <c r="C2" s="3" t="s">
        <v>84</v>
      </c>
      <c r="D2" s="12">
        <v>46026</v>
      </c>
      <c r="E2" s="13">
        <v>6</v>
      </c>
      <c r="F2" s="3" t="s">
        <v>206</v>
      </c>
      <c r="G2" s="3" t="str">
        <f>VLOOKUP(B2, Guests[],2,FALSE)</f>
        <v>Павлова Юлия Андреевна</v>
      </c>
      <c r="H2" s="17" t="str">
        <f>VLOOKUP(C2, Rooms[], 2, FALSE)</f>
        <v>Стандарт (DBL)</v>
      </c>
      <c r="I2" s="20">
        <f>VLOOKUP(C2, Rooms[], 3, FALSE)</f>
        <v>4100</v>
      </c>
      <c r="J2" s="20">
        <f>Booking[[#This Row],[Цена_за_ночь (ВПР)]]*Booking[[#This Row],[Ночей]]</f>
        <v>24600</v>
      </c>
      <c r="K2" s="12">
        <f>Booking[[#This Row],[Дата_заезда]] + Booking[[#This Row],[Ночей]]</f>
        <v>46032</v>
      </c>
      <c r="L2" s="12" t="str">
        <f>TEXT(Booking[[#This Row],[Дата_заезда]], "ММММ ГГГГ")</f>
        <v>Январь 2026</v>
      </c>
    </row>
    <row r="3" spans="1:12" x14ac:dyDescent="0.25">
      <c r="A3" s="22" t="s">
        <v>154</v>
      </c>
      <c r="B3" s="3" t="s">
        <v>14</v>
      </c>
      <c r="C3" s="3" t="s">
        <v>130</v>
      </c>
      <c r="D3" s="12">
        <v>46027</v>
      </c>
      <c r="E3" s="13">
        <v>4</v>
      </c>
      <c r="F3" s="3" t="s">
        <v>206</v>
      </c>
      <c r="G3" s="3" t="str">
        <f>VLOOKUP(B3, Guests[],2,FALSE)</f>
        <v>Петров Пётр Сергеевич</v>
      </c>
      <c r="H3" s="17" t="str">
        <f>VLOOKUP(C3, Rooms[], 2, FALSE)</f>
        <v>Комфорт (JSDB)</v>
      </c>
      <c r="I3" s="20">
        <f>VLOOKUP(C3, Rooms[], 3, FALSE)</f>
        <v>4500</v>
      </c>
      <c r="J3" s="20">
        <f>Booking[[#This Row],[Цена_за_ночь (ВПР)]]*Booking[[#This Row],[Ночей]]</f>
        <v>18000</v>
      </c>
      <c r="K3" s="12">
        <f>Booking[[#This Row],[Дата_заезда]] + Booking[[#This Row],[Ночей]]</f>
        <v>46031</v>
      </c>
      <c r="L3" s="12" t="str">
        <f>TEXT(Booking[[#This Row],[Дата_заезда]], "ММММ ГГГГ")</f>
        <v>Январь 2026</v>
      </c>
    </row>
    <row r="4" spans="1:12" x14ac:dyDescent="0.25">
      <c r="A4" s="22" t="s">
        <v>155</v>
      </c>
      <c r="B4" s="3" t="s">
        <v>30</v>
      </c>
      <c r="C4" s="3" t="s">
        <v>151</v>
      </c>
      <c r="D4" s="12">
        <v>46028</v>
      </c>
      <c r="E4" s="13">
        <v>5</v>
      </c>
      <c r="F4" s="3" t="s">
        <v>207</v>
      </c>
      <c r="G4" s="3" t="str">
        <f>VLOOKUP(B4, Guests[],2,FALSE)</f>
        <v>Смирнова Наталья Алексеевна</v>
      </c>
      <c r="H4" s="17" t="str">
        <f>VLOOKUP(C4, Rooms[], 2, FALSE)</f>
        <v>Комфорт (JSDB)</v>
      </c>
      <c r="I4" s="20">
        <f>VLOOKUP(C4, Rooms[], 3, FALSE)</f>
        <v>4500</v>
      </c>
      <c r="J4" s="20">
        <f>Booking[[#This Row],[Цена_за_ночь (ВПР)]]*Booking[[#This Row],[Ночей]]</f>
        <v>22500</v>
      </c>
      <c r="K4" s="12">
        <f>Booking[[#This Row],[Дата_заезда]] + Booking[[#This Row],[Ночей]]</f>
        <v>46033</v>
      </c>
      <c r="L4" s="12" t="str">
        <f>TEXT(Booking[[#This Row],[Дата_заезда]], "ММММ ГГГГ")</f>
        <v>Январь 2026</v>
      </c>
    </row>
    <row r="5" spans="1:12" x14ac:dyDescent="0.25">
      <c r="A5" s="22" t="s">
        <v>156</v>
      </c>
      <c r="B5" s="3" t="s">
        <v>38</v>
      </c>
      <c r="C5" s="3" t="s">
        <v>133</v>
      </c>
      <c r="D5" s="12">
        <v>46029</v>
      </c>
      <c r="E5" s="13">
        <v>3</v>
      </c>
      <c r="F5" s="3" t="s">
        <v>206</v>
      </c>
      <c r="G5" s="3" t="str">
        <f>VLOOKUP(B5, Guests[],2,FALSE)</f>
        <v>Орлов Дмитрий Евгеньевич</v>
      </c>
      <c r="H5" s="17" t="str">
        <f>VLOOKUP(C5, Rooms[], 2, FALSE)</f>
        <v>Люкс (SUITE)</v>
      </c>
      <c r="I5" s="20">
        <f>VLOOKUP(C5, Rooms[], 3, FALSE)</f>
        <v>7550</v>
      </c>
      <c r="J5" s="20">
        <f>Booking[[#This Row],[Цена_за_ночь (ВПР)]]*Booking[[#This Row],[Ночей]]</f>
        <v>22650</v>
      </c>
      <c r="K5" s="12">
        <f>Booking[[#This Row],[Дата_заезда]] + Booking[[#This Row],[Ночей]]</f>
        <v>46032</v>
      </c>
      <c r="L5" s="12" t="str">
        <f>TEXT(Booking[[#This Row],[Дата_заезда]], "ММММ ГГГГ")</f>
        <v>Январь 2026</v>
      </c>
    </row>
    <row r="6" spans="1:12" x14ac:dyDescent="0.25">
      <c r="A6" s="22" t="s">
        <v>157</v>
      </c>
      <c r="B6" s="3" t="s">
        <v>23</v>
      </c>
      <c r="C6" s="3" t="s">
        <v>127</v>
      </c>
      <c r="D6" s="12">
        <v>46030</v>
      </c>
      <c r="E6" s="13">
        <v>1</v>
      </c>
      <c r="F6" s="3" t="s">
        <v>207</v>
      </c>
      <c r="G6" s="3" t="str">
        <f>VLOOKUP(B6, Guests[],2,FALSE)</f>
        <v>Морозов Сергей Михайлович</v>
      </c>
      <c r="H6" s="17" t="str">
        <f>VLOOKUP(C6, Rooms[], 2, FALSE)</f>
        <v>Стандарт (TWIN)</v>
      </c>
      <c r="I6" s="20">
        <f>VLOOKUP(C6, Rooms[], 3, FALSE)</f>
        <v>4100</v>
      </c>
      <c r="J6" s="20">
        <f>Booking[[#This Row],[Цена_за_ночь (ВПР)]]*Booking[[#This Row],[Ночей]]</f>
        <v>4100</v>
      </c>
      <c r="K6" s="12">
        <f>Booking[[#This Row],[Дата_заезда]] + Booking[[#This Row],[Ночей]]</f>
        <v>46031</v>
      </c>
      <c r="L6" s="12" t="str">
        <f>TEXT(Booking[[#This Row],[Дата_заезда]], "ММММ ГГГГ")</f>
        <v>Январь 2026</v>
      </c>
    </row>
    <row r="7" spans="1:12" x14ac:dyDescent="0.25">
      <c r="A7" s="22" t="s">
        <v>158</v>
      </c>
      <c r="B7" s="3" t="s">
        <v>38</v>
      </c>
      <c r="C7" s="3" t="s">
        <v>124</v>
      </c>
      <c r="D7" s="12">
        <v>46031</v>
      </c>
      <c r="E7" s="13">
        <v>4</v>
      </c>
      <c r="F7" s="3" t="s">
        <v>207</v>
      </c>
      <c r="G7" s="3" t="str">
        <f>VLOOKUP(B7, Guests[],2,FALSE)</f>
        <v>Орлов Дмитрий Евгеньевич</v>
      </c>
      <c r="H7" s="17" t="str">
        <f>VLOOKUP(C7, Rooms[], 2, FALSE)</f>
        <v>Стандарт (DBL)</v>
      </c>
      <c r="I7" s="20">
        <f>VLOOKUP(C7, Rooms[], 3, FALSE)</f>
        <v>4100</v>
      </c>
      <c r="J7" s="20">
        <f>Booking[[#This Row],[Цена_за_ночь (ВПР)]]*Booking[[#This Row],[Ночей]]</f>
        <v>16400</v>
      </c>
      <c r="K7" s="12">
        <f>Booking[[#This Row],[Дата_заезда]] + Booking[[#This Row],[Ночей]]</f>
        <v>46035</v>
      </c>
      <c r="L7" s="12" t="str">
        <f>TEXT(Booking[[#This Row],[Дата_заезда]], "ММММ ГГГГ")</f>
        <v>Январь 2026</v>
      </c>
    </row>
    <row r="8" spans="1:12" x14ac:dyDescent="0.25">
      <c r="A8" s="22" t="s">
        <v>159</v>
      </c>
      <c r="B8" s="3" t="s">
        <v>28</v>
      </c>
      <c r="C8" s="3" t="s">
        <v>99</v>
      </c>
      <c r="D8" s="12">
        <v>46032</v>
      </c>
      <c r="E8" s="13">
        <v>2</v>
      </c>
      <c r="F8" s="3" t="s">
        <v>206</v>
      </c>
      <c r="G8" s="3" t="str">
        <f>VLOOKUP(B8, Guests[],2,FALSE)</f>
        <v>Кузнецова Мария Игоревна</v>
      </c>
      <c r="H8" s="17" t="str">
        <f>VLOOKUP(C8, Rooms[], 2, FALSE)</f>
        <v>Стандарт (TWIN)</v>
      </c>
      <c r="I8" s="20">
        <f>VLOOKUP(C8, Rooms[], 3, FALSE)</f>
        <v>4100</v>
      </c>
      <c r="J8" s="20">
        <f>Booking[[#This Row],[Цена_за_ночь (ВПР)]]*Booking[[#This Row],[Ночей]]</f>
        <v>8200</v>
      </c>
      <c r="K8" s="12">
        <f>Booking[[#This Row],[Дата_заезда]] + Booking[[#This Row],[Ночей]]</f>
        <v>46034</v>
      </c>
      <c r="L8" s="12" t="str">
        <f>TEXT(Booking[[#This Row],[Дата_заезда]], "ММММ ГГГГ")</f>
        <v>Январь 2026</v>
      </c>
    </row>
    <row r="9" spans="1:12" x14ac:dyDescent="0.25">
      <c r="A9" s="22" t="s">
        <v>160</v>
      </c>
      <c r="B9" s="3" t="s">
        <v>44</v>
      </c>
      <c r="C9" s="3" t="s">
        <v>151</v>
      </c>
      <c r="D9" s="12">
        <v>46033</v>
      </c>
      <c r="E9" s="13">
        <v>3</v>
      </c>
      <c r="F9" s="3" t="s">
        <v>207</v>
      </c>
      <c r="G9" s="3" t="str">
        <f>VLOOKUP(B9, Guests[],2,FALSE)</f>
        <v>Волков Алексей Дмитриевич</v>
      </c>
      <c r="H9" s="17" t="str">
        <f>VLOOKUP(C9, Rooms[], 2, FALSE)</f>
        <v>Комфорт (JSDB)</v>
      </c>
      <c r="I9" s="20">
        <f>VLOOKUP(C9, Rooms[], 3, FALSE)</f>
        <v>4500</v>
      </c>
      <c r="J9" s="20">
        <f>Booking[[#This Row],[Цена_за_ночь (ВПР)]]*Booking[[#This Row],[Ночей]]</f>
        <v>13500</v>
      </c>
      <c r="K9" s="12">
        <f>Booking[[#This Row],[Дата_заезда]] + Booking[[#This Row],[Ночей]]</f>
        <v>46036</v>
      </c>
      <c r="L9" s="12" t="str">
        <f>TEXT(Booking[[#This Row],[Дата_заезда]], "ММММ ГГГГ")</f>
        <v>Январь 2026</v>
      </c>
    </row>
    <row r="10" spans="1:12" x14ac:dyDescent="0.25">
      <c r="A10" s="22" t="s">
        <v>161</v>
      </c>
      <c r="B10" s="3" t="s">
        <v>41</v>
      </c>
      <c r="C10" s="3" t="s">
        <v>123</v>
      </c>
      <c r="D10" s="12">
        <v>46034</v>
      </c>
      <c r="E10" s="13">
        <v>6</v>
      </c>
      <c r="F10" s="3" t="s">
        <v>207</v>
      </c>
      <c r="G10" s="3" t="str">
        <f>VLOOKUP(B10, Guests[],2,FALSE)</f>
        <v>Жуков Сергей Викторович</v>
      </c>
      <c r="H10" s="17" t="str">
        <f>VLOOKUP(C10, Rooms[], 2, FALSE)</f>
        <v>Стандарт (TWIN)</v>
      </c>
      <c r="I10" s="20">
        <f>VLOOKUP(C10, Rooms[], 3, FALSE)</f>
        <v>4100</v>
      </c>
      <c r="J10" s="20">
        <f>Booking[[#This Row],[Цена_за_ночь (ВПР)]]*Booking[[#This Row],[Ночей]]</f>
        <v>24600</v>
      </c>
      <c r="K10" s="12">
        <f>Booking[[#This Row],[Дата_заезда]] + Booking[[#This Row],[Ночей]]</f>
        <v>46040</v>
      </c>
      <c r="L10" s="29" t="str">
        <f>TEXT(Booking[[#This Row],[Дата_заезда]], "ММММ ГГГГ")</f>
        <v>Январь 2026</v>
      </c>
    </row>
    <row r="11" spans="1:12" x14ac:dyDescent="0.25">
      <c r="A11" s="22" t="s">
        <v>162</v>
      </c>
      <c r="B11" s="3" t="s">
        <v>34</v>
      </c>
      <c r="C11" s="3" t="s">
        <v>85</v>
      </c>
      <c r="D11" s="12">
        <v>46035</v>
      </c>
      <c r="E11" s="13">
        <v>2</v>
      </c>
      <c r="F11" s="3" t="s">
        <v>207</v>
      </c>
      <c r="G11" s="3" t="str">
        <f>VLOOKUP(B11, Guests[],2,FALSE)</f>
        <v>Федоров Максим Олегович</v>
      </c>
      <c r="H11" s="17" t="str">
        <f>VLOOKUP(C11, Rooms[], 2, FALSE)</f>
        <v>Стандарт (TWIN)</v>
      </c>
      <c r="I11" s="20">
        <f>VLOOKUP(C11, Rooms[], 3, FALSE)</f>
        <v>4100</v>
      </c>
      <c r="J11" s="20">
        <f>Booking[[#This Row],[Цена_за_ночь (ВПР)]]*Booking[[#This Row],[Ночей]]</f>
        <v>8200</v>
      </c>
      <c r="K11" s="12">
        <f>Booking[[#This Row],[Дата_заезда]] + Booking[[#This Row],[Ночей]]</f>
        <v>46037</v>
      </c>
      <c r="L11" s="29" t="str">
        <f>TEXT(Booking[[#This Row],[Дата_заезда]], "ММММ ГГГГ")</f>
        <v>Январь 2026</v>
      </c>
    </row>
    <row r="12" spans="1:12" x14ac:dyDescent="0.25">
      <c r="A12" s="22" t="s">
        <v>163</v>
      </c>
      <c r="B12" s="3" t="s">
        <v>41</v>
      </c>
      <c r="C12" s="3" t="s">
        <v>145</v>
      </c>
      <c r="D12" s="12">
        <v>46036</v>
      </c>
      <c r="E12" s="13">
        <v>1</v>
      </c>
      <c r="F12" s="3" t="s">
        <v>207</v>
      </c>
      <c r="G12" s="3" t="str">
        <f>VLOOKUP(B12, Guests[],2,FALSE)</f>
        <v>Жуков Сергей Викторович</v>
      </c>
      <c r="H12" s="17" t="str">
        <f>VLOOKUP(C12, Rooms[], 2, FALSE)</f>
        <v>Комфорт (JSDB)</v>
      </c>
      <c r="I12" s="20">
        <f>VLOOKUP(C12, Rooms[], 3, FALSE)</f>
        <v>4500</v>
      </c>
      <c r="J12" s="20">
        <f>Booking[[#This Row],[Цена_за_ночь (ВПР)]]*Booking[[#This Row],[Ночей]]</f>
        <v>4500</v>
      </c>
      <c r="K12" s="12">
        <f>Booking[[#This Row],[Дата_заезда]] + Booking[[#This Row],[Ночей]]</f>
        <v>46037</v>
      </c>
      <c r="L12" s="29" t="str">
        <f>TEXT(Booking[[#This Row],[Дата_заезда]], "ММММ ГГГГ")</f>
        <v>Январь 2026</v>
      </c>
    </row>
    <row r="13" spans="1:12" x14ac:dyDescent="0.25">
      <c r="A13" s="22" t="s">
        <v>164</v>
      </c>
      <c r="B13" s="3" t="s">
        <v>19</v>
      </c>
      <c r="C13" s="3" t="s">
        <v>111</v>
      </c>
      <c r="D13" s="12">
        <v>46037</v>
      </c>
      <c r="E13" s="13">
        <v>2</v>
      </c>
      <c r="F13" s="3" t="s">
        <v>207</v>
      </c>
      <c r="G13" s="3" t="str">
        <f>VLOOKUP(B13, Guests[],2,FALSE)</f>
        <v>Козлов Дмитрий Александрович</v>
      </c>
      <c r="H13" s="17" t="str">
        <f>VLOOKUP(C13, Rooms[], 2, FALSE)</f>
        <v>Комфорт (JSDB)</v>
      </c>
      <c r="I13" s="20">
        <f>VLOOKUP(C13, Rooms[], 3, FALSE)</f>
        <v>4500</v>
      </c>
      <c r="J13" s="20">
        <f>Booking[[#This Row],[Цена_за_ночь (ВПР)]]*Booking[[#This Row],[Ночей]]</f>
        <v>9000</v>
      </c>
      <c r="K13" s="12">
        <f>Booking[[#This Row],[Дата_заезда]] + Booking[[#This Row],[Ночей]]</f>
        <v>46039</v>
      </c>
      <c r="L13" s="29" t="str">
        <f>TEXT(Booking[[#This Row],[Дата_заезда]], "ММММ ГГГГ")</f>
        <v>Январь 2026</v>
      </c>
    </row>
    <row r="14" spans="1:12" x14ac:dyDescent="0.25">
      <c r="A14" s="22" t="s">
        <v>165</v>
      </c>
      <c r="B14" s="3" t="s">
        <v>14</v>
      </c>
      <c r="C14" s="3" t="s">
        <v>114</v>
      </c>
      <c r="D14" s="12">
        <v>46038</v>
      </c>
      <c r="E14" s="13">
        <v>3</v>
      </c>
      <c r="F14" s="3" t="s">
        <v>207</v>
      </c>
      <c r="G14" s="3" t="str">
        <f>VLOOKUP(B14, Guests[],2,FALSE)</f>
        <v>Петров Пётр Сергеевич</v>
      </c>
      <c r="H14" s="17" t="str">
        <f>VLOOKUP(C14, Rooms[], 2, FALSE)</f>
        <v>Стандарт (DBL)</v>
      </c>
      <c r="I14" s="20">
        <f>VLOOKUP(C14, Rooms[], 3, FALSE)</f>
        <v>4100</v>
      </c>
      <c r="J14" s="20">
        <f>Booking[[#This Row],[Цена_за_ночь (ВПР)]]*Booking[[#This Row],[Ночей]]</f>
        <v>12300</v>
      </c>
      <c r="K14" s="12">
        <f>Booking[[#This Row],[Дата_заезда]] + Booking[[#This Row],[Ночей]]</f>
        <v>46041</v>
      </c>
      <c r="L14" s="29" t="str">
        <f>TEXT(Booking[[#This Row],[Дата_заезда]], "ММММ ГГГГ")</f>
        <v>Январь 2026</v>
      </c>
    </row>
    <row r="15" spans="1:12" x14ac:dyDescent="0.25">
      <c r="A15" s="22" t="s">
        <v>166</v>
      </c>
      <c r="B15" s="3" t="s">
        <v>28</v>
      </c>
      <c r="C15" s="3" t="s">
        <v>116</v>
      </c>
      <c r="D15" s="12">
        <v>46039</v>
      </c>
      <c r="E15" s="13">
        <v>1</v>
      </c>
      <c r="F15" s="3" t="s">
        <v>207</v>
      </c>
      <c r="G15" s="3" t="str">
        <f>VLOOKUP(B15, Guests[],2,FALSE)</f>
        <v>Кузнецова Мария Игоревна</v>
      </c>
      <c r="H15" s="17" t="str">
        <f>VLOOKUP(C15, Rooms[], 2, FALSE)</f>
        <v>Комфорт (JSDB)</v>
      </c>
      <c r="I15" s="20">
        <f>VLOOKUP(C15, Rooms[], 3, FALSE)</f>
        <v>4500</v>
      </c>
      <c r="J15" s="20">
        <f>Booking[[#This Row],[Цена_за_ночь (ВПР)]]*Booking[[#This Row],[Ночей]]</f>
        <v>4500</v>
      </c>
      <c r="K15" s="12">
        <f>Booking[[#This Row],[Дата_заезда]] + Booking[[#This Row],[Ночей]]</f>
        <v>46040</v>
      </c>
      <c r="L15" s="29" t="str">
        <f>TEXT(Booking[[#This Row],[Дата_заезда]], "ММММ ГГГГ")</f>
        <v>Январь 2026</v>
      </c>
    </row>
    <row r="16" spans="1:12" x14ac:dyDescent="0.25">
      <c r="A16" s="22" t="s">
        <v>167</v>
      </c>
      <c r="B16" s="3" t="s">
        <v>17</v>
      </c>
      <c r="C16" s="3" t="s">
        <v>67</v>
      </c>
      <c r="D16" s="12">
        <v>46040</v>
      </c>
      <c r="E16" s="13">
        <v>6</v>
      </c>
      <c r="F16" s="3" t="s">
        <v>207</v>
      </c>
      <c r="G16" s="3" t="str">
        <f>VLOOKUP(B16, Guests[],2,FALSE)</f>
        <v>Сидорова Анна Павловна</v>
      </c>
      <c r="H16" s="17" t="str">
        <f>VLOOKUP(C16, Rooms[], 2, FALSE)</f>
        <v>Стандарт (TWIN)</v>
      </c>
      <c r="I16" s="20">
        <f>VLOOKUP(C16, Rooms[], 3, FALSE)</f>
        <v>4100</v>
      </c>
      <c r="J16" s="20">
        <f>Booking[[#This Row],[Цена_за_ночь (ВПР)]]*Booking[[#This Row],[Ночей]]</f>
        <v>24600</v>
      </c>
      <c r="K16" s="12">
        <f>Booking[[#This Row],[Дата_заезда]] + Booking[[#This Row],[Ночей]]</f>
        <v>46046</v>
      </c>
      <c r="L16" s="29" t="str">
        <f>TEXT(Booking[[#This Row],[Дата_заезда]], "ММММ ГГГГ")</f>
        <v>Январь 2026</v>
      </c>
    </row>
    <row r="17" spans="1:12" x14ac:dyDescent="0.25">
      <c r="A17" s="22" t="s">
        <v>168</v>
      </c>
      <c r="B17" s="3" t="s">
        <v>44</v>
      </c>
      <c r="C17" s="3" t="s">
        <v>70</v>
      </c>
      <c r="D17" s="12">
        <v>46041</v>
      </c>
      <c r="E17" s="13">
        <v>4</v>
      </c>
      <c r="F17" s="3" t="s">
        <v>207</v>
      </c>
      <c r="G17" s="3" t="str">
        <f>VLOOKUP(B17, Guests[],2,FALSE)</f>
        <v>Волков Алексей Дмитриевич</v>
      </c>
      <c r="H17" s="17" t="str">
        <f>VLOOKUP(C17, Rooms[], 2, FALSE)</f>
        <v>Комфорт (JSDB)</v>
      </c>
      <c r="I17" s="20">
        <f>VLOOKUP(C17, Rooms[], 3, FALSE)</f>
        <v>4500</v>
      </c>
      <c r="J17" s="20">
        <f>Booking[[#This Row],[Цена_за_ночь (ВПР)]]*Booking[[#This Row],[Ночей]]</f>
        <v>18000</v>
      </c>
      <c r="K17" s="12">
        <f>Booking[[#This Row],[Дата_заезда]] + Booking[[#This Row],[Ночей]]</f>
        <v>46045</v>
      </c>
      <c r="L17" s="29" t="str">
        <f>TEXT(Booking[[#This Row],[Дата_заезда]], "ММММ ГГГГ")</f>
        <v>Январь 2026</v>
      </c>
    </row>
    <row r="18" spans="1:12" x14ac:dyDescent="0.25">
      <c r="A18" s="22" t="s">
        <v>169</v>
      </c>
      <c r="B18" s="3" t="s">
        <v>23</v>
      </c>
      <c r="C18" s="3" t="s">
        <v>75</v>
      </c>
      <c r="D18" s="12">
        <v>46042</v>
      </c>
      <c r="E18" s="13">
        <v>1</v>
      </c>
      <c r="F18" s="3" t="s">
        <v>207</v>
      </c>
      <c r="G18" s="3" t="str">
        <f>VLOOKUP(B18, Guests[],2,FALSE)</f>
        <v>Морозов Сергей Михайлович</v>
      </c>
      <c r="H18" s="17" t="str">
        <f>VLOOKUP(C18, Rooms[], 2, FALSE)</f>
        <v>Стандарт (TWIN)</v>
      </c>
      <c r="I18" s="20">
        <f>VLOOKUP(C18, Rooms[], 3, FALSE)</f>
        <v>4100</v>
      </c>
      <c r="J18" s="20">
        <f>Booking[[#This Row],[Цена_за_ночь (ВПР)]]*Booking[[#This Row],[Ночей]]</f>
        <v>4100</v>
      </c>
      <c r="K18" s="12">
        <f>Booking[[#This Row],[Дата_заезда]] + Booking[[#This Row],[Ночей]]</f>
        <v>46043</v>
      </c>
      <c r="L18" s="29" t="str">
        <f>TEXT(Booking[[#This Row],[Дата_заезда]], "ММММ ГГГГ")</f>
        <v>Январь 2026</v>
      </c>
    </row>
    <row r="19" spans="1:12" x14ac:dyDescent="0.25">
      <c r="A19" s="22" t="s">
        <v>170</v>
      </c>
      <c r="B19" s="3" t="s">
        <v>19</v>
      </c>
      <c r="C19" s="3" t="s">
        <v>112</v>
      </c>
      <c r="D19" s="12">
        <v>46043</v>
      </c>
      <c r="E19" s="13">
        <v>6</v>
      </c>
      <c r="F19" s="3" t="s">
        <v>207</v>
      </c>
      <c r="G19" s="3" t="str">
        <f>VLOOKUP(B19, Guests[],2,FALSE)</f>
        <v>Козлов Дмитрий Александрович</v>
      </c>
      <c r="H19" s="17" t="str">
        <f>VLOOKUP(C19, Rooms[], 2, FALSE)</f>
        <v>Комфорт (JSDB)</v>
      </c>
      <c r="I19" s="20">
        <f>VLOOKUP(C19, Rooms[], 3, FALSE)</f>
        <v>4500</v>
      </c>
      <c r="J19" s="20">
        <f>Booking[[#This Row],[Цена_за_ночь (ВПР)]]*Booking[[#This Row],[Ночей]]</f>
        <v>27000</v>
      </c>
      <c r="K19" s="12">
        <f>Booking[[#This Row],[Дата_заезда]] + Booking[[#This Row],[Ночей]]</f>
        <v>46049</v>
      </c>
      <c r="L19" s="29" t="str">
        <f>TEXT(Booking[[#This Row],[Дата_заезда]], "ММММ ГГГГ")</f>
        <v>Январь 2026</v>
      </c>
    </row>
    <row r="20" spans="1:12" x14ac:dyDescent="0.25">
      <c r="A20" s="22" t="s">
        <v>171</v>
      </c>
      <c r="B20" s="3" t="s">
        <v>29</v>
      </c>
      <c r="C20" s="3" t="s">
        <v>102</v>
      </c>
      <c r="D20" s="12">
        <v>46044</v>
      </c>
      <c r="E20" s="13">
        <v>4</v>
      </c>
      <c r="F20" s="3" t="s">
        <v>207</v>
      </c>
      <c r="G20" s="3" t="str">
        <f>VLOOKUP(B20, Guests[],2,FALSE)</f>
        <v>Попов Александр Владимирович</v>
      </c>
      <c r="H20" s="17" t="str">
        <f>VLOOKUP(C20, Rooms[], 2, FALSE)</f>
        <v>Стандарт (DBL)</v>
      </c>
      <c r="I20" s="20">
        <f>VLOOKUP(C20, Rooms[], 3, FALSE)</f>
        <v>4100</v>
      </c>
      <c r="J20" s="20">
        <f>Booking[[#This Row],[Цена_за_ночь (ВПР)]]*Booking[[#This Row],[Ночей]]</f>
        <v>16400</v>
      </c>
      <c r="K20" s="12">
        <f>Booking[[#This Row],[Дата_заезда]] + Booking[[#This Row],[Ночей]]</f>
        <v>46048</v>
      </c>
      <c r="L20" s="29" t="str">
        <f>TEXT(Booking[[#This Row],[Дата_заезда]], "ММММ ГГГГ")</f>
        <v>Январь 2026</v>
      </c>
    </row>
    <row r="21" spans="1:12" x14ac:dyDescent="0.25">
      <c r="A21" s="22" t="s">
        <v>172</v>
      </c>
      <c r="B21" s="3" t="s">
        <v>22</v>
      </c>
      <c r="C21" s="3" t="s">
        <v>149</v>
      </c>
      <c r="D21" s="12">
        <v>46045</v>
      </c>
      <c r="E21" s="13">
        <v>6</v>
      </c>
      <c r="F21" s="3" t="s">
        <v>207</v>
      </c>
      <c r="G21" s="3" t="str">
        <f>VLOOKUP(B21, Guests[],2,FALSE)</f>
        <v>Новикова Елена Владимировна</v>
      </c>
      <c r="H21" s="17" t="str">
        <f>VLOOKUP(C21, Rooms[], 2, FALSE)</f>
        <v>Комфорт (JSDB)</v>
      </c>
      <c r="I21" s="20">
        <f>VLOOKUP(C21, Rooms[], 3, FALSE)</f>
        <v>4500</v>
      </c>
      <c r="J21" s="20">
        <f>Booking[[#This Row],[Цена_за_ночь (ВПР)]]*Booking[[#This Row],[Ночей]]</f>
        <v>27000</v>
      </c>
      <c r="K21" s="12">
        <f>Booking[[#This Row],[Дата_заезда]] + Booking[[#This Row],[Ночей]]</f>
        <v>46051</v>
      </c>
      <c r="L21" s="29" t="str">
        <f>TEXT(Booking[[#This Row],[Дата_заезда]], "ММММ ГГГГ")</f>
        <v>Январь 2026</v>
      </c>
    </row>
    <row r="22" spans="1:12" x14ac:dyDescent="0.25">
      <c r="A22" s="22" t="s">
        <v>173</v>
      </c>
      <c r="B22" s="3" t="s">
        <v>44</v>
      </c>
      <c r="C22" s="3" t="s">
        <v>73</v>
      </c>
      <c r="D22" s="12">
        <v>46046</v>
      </c>
      <c r="E22" s="13">
        <v>2</v>
      </c>
      <c r="F22" s="3" t="s">
        <v>207</v>
      </c>
      <c r="G22" s="3" t="str">
        <f>VLOOKUP(B22, Guests[],2,FALSE)</f>
        <v>Волков Алексей Дмитриевич</v>
      </c>
      <c r="H22" s="17" t="str">
        <f>VLOOKUP(C22, Rooms[], 2, FALSE)</f>
        <v>Стандарт (TWIN)</v>
      </c>
      <c r="I22" s="20">
        <f>VLOOKUP(C22, Rooms[], 3, FALSE)</f>
        <v>4100</v>
      </c>
      <c r="J22" s="20">
        <f>Booking[[#This Row],[Цена_за_ночь (ВПР)]]*Booking[[#This Row],[Ночей]]</f>
        <v>8200</v>
      </c>
      <c r="K22" s="12">
        <f>Booking[[#This Row],[Дата_заезда]] + Booking[[#This Row],[Ночей]]</f>
        <v>46048</v>
      </c>
      <c r="L22" s="29" t="str">
        <f>TEXT(Booking[[#This Row],[Дата_заезда]], "ММММ ГГГГ")</f>
        <v>Январь 2026</v>
      </c>
    </row>
    <row r="23" spans="1:12" x14ac:dyDescent="0.25">
      <c r="A23" s="22" t="s">
        <v>174</v>
      </c>
      <c r="B23" s="3" t="s">
        <v>23</v>
      </c>
      <c r="C23" s="3" t="s">
        <v>71</v>
      </c>
      <c r="D23" s="12">
        <v>46047</v>
      </c>
      <c r="E23" s="13">
        <v>6</v>
      </c>
      <c r="F23" s="3" t="s">
        <v>207</v>
      </c>
      <c r="G23" s="3" t="str">
        <f>VLOOKUP(B23, Guests[],2,FALSE)</f>
        <v>Морозов Сергей Михайлович</v>
      </c>
      <c r="H23" s="17" t="str">
        <f>VLOOKUP(C23, Rooms[], 2, FALSE)</f>
        <v>Стандарт (TWIN)</v>
      </c>
      <c r="I23" s="20">
        <f>VLOOKUP(C23, Rooms[], 3, FALSE)</f>
        <v>4100</v>
      </c>
      <c r="J23" s="20">
        <f>Booking[[#This Row],[Цена_за_ночь (ВПР)]]*Booking[[#This Row],[Ночей]]</f>
        <v>24600</v>
      </c>
      <c r="K23" s="12">
        <f>Booking[[#This Row],[Дата_заезда]] + Booking[[#This Row],[Ночей]]</f>
        <v>46053</v>
      </c>
      <c r="L23" s="29" t="str">
        <f>TEXT(Booking[[#This Row],[Дата_заезда]], "ММММ ГГГГ")</f>
        <v>Январь 2026</v>
      </c>
    </row>
    <row r="24" spans="1:12" x14ac:dyDescent="0.25">
      <c r="A24" s="22" t="s">
        <v>175</v>
      </c>
      <c r="B24" s="3" t="s">
        <v>28</v>
      </c>
      <c r="C24" s="3" t="s">
        <v>69</v>
      </c>
      <c r="D24" s="12">
        <v>46048</v>
      </c>
      <c r="E24" s="13">
        <v>3</v>
      </c>
      <c r="F24" s="3" t="s">
        <v>206</v>
      </c>
      <c r="G24" s="3" t="str">
        <f>VLOOKUP(B24, Guests[],2,FALSE)</f>
        <v>Кузнецова Мария Игоревна</v>
      </c>
      <c r="H24" s="17" t="str">
        <f>VLOOKUP(C24, Rooms[], 2, FALSE)</f>
        <v>Стандарт (TWIN)</v>
      </c>
      <c r="I24" s="20">
        <f>VLOOKUP(C24, Rooms[], 3, FALSE)</f>
        <v>4100</v>
      </c>
      <c r="J24" s="20">
        <f>Booking[[#This Row],[Цена_за_ночь (ВПР)]]*Booking[[#This Row],[Ночей]]</f>
        <v>12300</v>
      </c>
      <c r="K24" s="12">
        <f>Booking[[#This Row],[Дата_заезда]] + Booking[[#This Row],[Ночей]]</f>
        <v>46051</v>
      </c>
      <c r="L24" s="29" t="str">
        <f>TEXT(Booking[[#This Row],[Дата_заезда]], "ММММ ГГГГ")</f>
        <v>Январь 2026</v>
      </c>
    </row>
    <row r="25" spans="1:12" x14ac:dyDescent="0.25">
      <c r="A25" s="22" t="s">
        <v>176</v>
      </c>
      <c r="B25" s="3" t="s">
        <v>27</v>
      </c>
      <c r="C25" s="3" t="s">
        <v>131</v>
      </c>
      <c r="D25" s="12">
        <v>46049</v>
      </c>
      <c r="E25" s="13">
        <v>3</v>
      </c>
      <c r="F25" s="3" t="s">
        <v>207</v>
      </c>
      <c r="G25" s="3" t="str">
        <f>VLOOKUP(B25, Guests[],2,FALSE)</f>
        <v>Васильев Андрей Николаевич</v>
      </c>
      <c r="H25" s="17" t="str">
        <f>VLOOKUP(C25, Rooms[], 2, FALSE)</f>
        <v>Комфорт (JSDB)</v>
      </c>
      <c r="I25" s="20">
        <f>VLOOKUP(C25, Rooms[], 3, FALSE)</f>
        <v>4500</v>
      </c>
      <c r="J25" s="20">
        <f>Booking[[#This Row],[Цена_за_ночь (ВПР)]]*Booking[[#This Row],[Ночей]]</f>
        <v>13500</v>
      </c>
      <c r="K25" s="12">
        <f>Booking[[#This Row],[Дата_заезда]] + Booking[[#This Row],[Ночей]]</f>
        <v>46052</v>
      </c>
      <c r="L25" s="29" t="str">
        <f>TEXT(Booking[[#This Row],[Дата_заезда]], "ММММ ГГГГ")</f>
        <v>Январь 2026</v>
      </c>
    </row>
    <row r="26" spans="1:12" x14ac:dyDescent="0.25">
      <c r="A26" s="22" t="s">
        <v>177</v>
      </c>
      <c r="B26" s="3" t="s">
        <v>41</v>
      </c>
      <c r="C26" s="3" t="s">
        <v>78</v>
      </c>
      <c r="D26" s="12">
        <v>46050</v>
      </c>
      <c r="E26" s="13">
        <v>3</v>
      </c>
      <c r="F26" s="3" t="s">
        <v>206</v>
      </c>
      <c r="G26" s="3" t="str">
        <f>VLOOKUP(B26, Guests[],2,FALSE)</f>
        <v>Жуков Сергей Викторович</v>
      </c>
      <c r="H26" s="17" t="str">
        <f>VLOOKUP(C26, Rooms[], 2, FALSE)</f>
        <v>Стандарт (DBL)</v>
      </c>
      <c r="I26" s="20">
        <f>VLOOKUP(C26, Rooms[], 3, FALSE)</f>
        <v>4100</v>
      </c>
      <c r="J26" s="20">
        <f>Booking[[#This Row],[Цена_за_ночь (ВПР)]]*Booking[[#This Row],[Ночей]]</f>
        <v>12300</v>
      </c>
      <c r="K26" s="12">
        <f>Booking[[#This Row],[Дата_заезда]] + Booking[[#This Row],[Ночей]]</f>
        <v>46053</v>
      </c>
      <c r="L26" s="29" t="str">
        <f>TEXT(Booking[[#This Row],[Дата_заезда]], "ММММ ГГГГ")</f>
        <v>Январь 2026</v>
      </c>
    </row>
    <row r="27" spans="1:12" x14ac:dyDescent="0.25">
      <c r="A27" s="22" t="s">
        <v>178</v>
      </c>
      <c r="B27" s="3" t="s">
        <v>14</v>
      </c>
      <c r="C27" s="3" t="s">
        <v>144</v>
      </c>
      <c r="D27" s="12">
        <v>46051</v>
      </c>
      <c r="E27" s="13">
        <v>2</v>
      </c>
      <c r="F27" s="3" t="s">
        <v>207</v>
      </c>
      <c r="G27" s="3" t="str">
        <f>VLOOKUP(B27, Guests[],2,FALSE)</f>
        <v>Петров Пётр Сергеевич</v>
      </c>
      <c r="H27" s="17" t="str">
        <f>VLOOKUP(C27, Rooms[], 2, FALSE)</f>
        <v>Стандарт (DBL)</v>
      </c>
      <c r="I27" s="20">
        <f>VLOOKUP(C27, Rooms[], 3, FALSE)</f>
        <v>4100</v>
      </c>
      <c r="J27" s="20">
        <f>Booking[[#This Row],[Цена_за_ночь (ВПР)]]*Booking[[#This Row],[Ночей]]</f>
        <v>8200</v>
      </c>
      <c r="K27" s="12">
        <f>Booking[[#This Row],[Дата_заезда]] + Booking[[#This Row],[Ночей]]</f>
        <v>46053</v>
      </c>
      <c r="L27" s="29" t="str">
        <f>TEXT(Booking[[#This Row],[Дата_заезда]], "ММММ ГГГГ")</f>
        <v>Январь 2026</v>
      </c>
    </row>
    <row r="28" spans="1:12" x14ac:dyDescent="0.25">
      <c r="A28" s="22" t="s">
        <v>179</v>
      </c>
      <c r="B28" s="3" t="s">
        <v>29</v>
      </c>
      <c r="C28" s="3" t="s">
        <v>120</v>
      </c>
      <c r="D28" s="12">
        <v>46052</v>
      </c>
      <c r="E28" s="13">
        <v>4</v>
      </c>
      <c r="F28" s="3" t="s">
        <v>207</v>
      </c>
      <c r="G28" s="3" t="str">
        <f>VLOOKUP(B28, Guests[],2,FALSE)</f>
        <v>Попов Александр Владимирович</v>
      </c>
      <c r="H28" s="17" t="str">
        <f>VLOOKUP(C28, Rooms[], 2, FALSE)</f>
        <v>Стандарт (DBL)</v>
      </c>
      <c r="I28" s="20">
        <f>VLOOKUP(C28, Rooms[], 3, FALSE)</f>
        <v>4100</v>
      </c>
      <c r="J28" s="20">
        <f>Booking[[#This Row],[Цена_за_ночь (ВПР)]]*Booking[[#This Row],[Ночей]]</f>
        <v>16400</v>
      </c>
      <c r="K28" s="12">
        <f>Booking[[#This Row],[Дата_заезда]] + Booking[[#This Row],[Ночей]]</f>
        <v>46056</v>
      </c>
      <c r="L28" s="29" t="str">
        <f>TEXT(Booking[[#This Row],[Дата_заезда]], "ММММ ГГГГ")</f>
        <v>Январь 2026</v>
      </c>
    </row>
    <row r="29" spans="1:12" x14ac:dyDescent="0.25">
      <c r="A29" s="22" t="s">
        <v>180</v>
      </c>
      <c r="B29" s="3" t="s">
        <v>30</v>
      </c>
      <c r="C29" s="3" t="s">
        <v>71</v>
      </c>
      <c r="D29" s="12">
        <v>46053</v>
      </c>
      <c r="E29" s="13">
        <v>6</v>
      </c>
      <c r="F29" s="3" t="s">
        <v>207</v>
      </c>
      <c r="G29" s="3" t="str">
        <f>VLOOKUP(B29, Guests[],2,FALSE)</f>
        <v>Смирнова Наталья Алексеевна</v>
      </c>
      <c r="H29" s="17" t="str">
        <f>VLOOKUP(C29, Rooms[], 2, FALSE)</f>
        <v>Стандарт (TWIN)</v>
      </c>
      <c r="I29" s="20">
        <f>VLOOKUP(C29, Rooms[], 3, FALSE)</f>
        <v>4100</v>
      </c>
      <c r="J29" s="20">
        <f>Booking[[#This Row],[Цена_за_ночь (ВПР)]]*Booking[[#This Row],[Ночей]]</f>
        <v>24600</v>
      </c>
      <c r="K29" s="12">
        <f>Booking[[#This Row],[Дата_заезда]] + Booking[[#This Row],[Ночей]]</f>
        <v>46059</v>
      </c>
      <c r="L29" s="29" t="str">
        <f>TEXT(Booking[[#This Row],[Дата_заезда]], "ММММ ГГГГ")</f>
        <v>Январь 2026</v>
      </c>
    </row>
    <row r="30" spans="1:12" x14ac:dyDescent="0.25">
      <c r="A30" s="22" t="s">
        <v>181</v>
      </c>
      <c r="B30" s="3" t="s">
        <v>39</v>
      </c>
      <c r="C30" s="3" t="s">
        <v>118</v>
      </c>
      <c r="D30" s="12">
        <v>46054</v>
      </c>
      <c r="E30" s="13">
        <v>2</v>
      </c>
      <c r="F30" s="3" t="s">
        <v>206</v>
      </c>
      <c r="G30" s="3" t="str">
        <f>VLOOKUP(B30, Guests[],2,FALSE)</f>
        <v>Титова Анна Константиновна</v>
      </c>
      <c r="H30" s="17" t="str">
        <f>VLOOKUP(C30, Rooms[], 2, FALSE)</f>
        <v>Стандарт (DBL)</v>
      </c>
      <c r="I30" s="20">
        <f>VLOOKUP(C30, Rooms[], 3, FALSE)</f>
        <v>4100</v>
      </c>
      <c r="J30" s="20">
        <f>Booking[[#This Row],[Цена_за_ночь (ВПР)]]*Booking[[#This Row],[Ночей]]</f>
        <v>8200</v>
      </c>
      <c r="K30" s="12">
        <f>Booking[[#This Row],[Дата_заезда]] + Booking[[#This Row],[Ночей]]</f>
        <v>46056</v>
      </c>
      <c r="L30" s="29" t="str">
        <f>TEXT(Booking[[#This Row],[Дата_заезда]], "ММММ ГГГГ")</f>
        <v>Февраль 2026</v>
      </c>
    </row>
    <row r="31" spans="1:12" x14ac:dyDescent="0.25">
      <c r="A31" s="22" t="s">
        <v>182</v>
      </c>
      <c r="B31" s="3" t="s">
        <v>44</v>
      </c>
      <c r="C31" s="3" t="s">
        <v>140</v>
      </c>
      <c r="D31" s="12">
        <v>46055</v>
      </c>
      <c r="E31" s="13">
        <v>1</v>
      </c>
      <c r="F31" s="3" t="s">
        <v>207</v>
      </c>
      <c r="G31" s="3" t="str">
        <f>VLOOKUP(B31, Guests[],2,FALSE)</f>
        <v>Волков Алексей Дмитриевич</v>
      </c>
      <c r="H31" s="17" t="str">
        <f>VLOOKUP(C31, Rooms[], 2, FALSE)</f>
        <v>Комфорт (JSDB)</v>
      </c>
      <c r="I31" s="20">
        <f>VLOOKUP(C31, Rooms[], 3, FALSE)</f>
        <v>4500</v>
      </c>
      <c r="J31" s="20">
        <f>Booking[[#This Row],[Цена_за_ночь (ВПР)]]*Booking[[#This Row],[Ночей]]</f>
        <v>4500</v>
      </c>
      <c r="K31" s="12">
        <f>Booking[[#This Row],[Дата_заезда]] + Booking[[#This Row],[Ночей]]</f>
        <v>46056</v>
      </c>
      <c r="L31" s="29" t="str">
        <f>TEXT(Booking[[#This Row],[Дата_заезда]], "ММММ ГГГГ")</f>
        <v>Февраль 2026</v>
      </c>
    </row>
    <row r="32" spans="1:12" x14ac:dyDescent="0.25">
      <c r="A32" s="22" t="s">
        <v>183</v>
      </c>
      <c r="B32" s="3" t="s">
        <v>30</v>
      </c>
      <c r="C32" s="3" t="s">
        <v>120</v>
      </c>
      <c r="D32" s="12">
        <v>46056</v>
      </c>
      <c r="E32" s="13">
        <v>5</v>
      </c>
      <c r="F32" s="3" t="s">
        <v>207</v>
      </c>
      <c r="G32" s="3" t="str">
        <f>VLOOKUP(B32, Guests[],2,FALSE)</f>
        <v>Смирнова Наталья Алексеевна</v>
      </c>
      <c r="H32" s="17" t="str">
        <f>VLOOKUP(C32, Rooms[], 2, FALSE)</f>
        <v>Стандарт (DBL)</v>
      </c>
      <c r="I32" s="20">
        <f>VLOOKUP(C32, Rooms[], 3, FALSE)</f>
        <v>4100</v>
      </c>
      <c r="J32" s="20">
        <f>Booking[[#This Row],[Цена_за_ночь (ВПР)]]*Booking[[#This Row],[Ночей]]</f>
        <v>20500</v>
      </c>
      <c r="K32" s="12">
        <f>Booking[[#This Row],[Дата_заезда]] + Booking[[#This Row],[Ночей]]</f>
        <v>46061</v>
      </c>
      <c r="L32" s="29" t="str">
        <f>TEXT(Booking[[#This Row],[Дата_заезда]], "ММММ ГГГГ")</f>
        <v>Февраль 2026</v>
      </c>
    </row>
    <row r="33" spans="1:12" x14ac:dyDescent="0.25">
      <c r="A33" s="22" t="s">
        <v>184</v>
      </c>
      <c r="B33" s="3" t="s">
        <v>29</v>
      </c>
      <c r="C33" s="3" t="s">
        <v>74</v>
      </c>
      <c r="D33" s="12">
        <v>46057</v>
      </c>
      <c r="E33" s="13">
        <v>3</v>
      </c>
      <c r="F33" s="3" t="s">
        <v>206</v>
      </c>
      <c r="G33" s="3" t="str">
        <f>VLOOKUP(B33, Guests[],2,FALSE)</f>
        <v>Попов Александр Владимирович</v>
      </c>
      <c r="H33" s="17" t="str">
        <f>VLOOKUP(C33, Rooms[], 2, FALSE)</f>
        <v>Стандарт (DBL)</v>
      </c>
      <c r="I33" s="20">
        <f>VLOOKUP(C33, Rooms[], 3, FALSE)</f>
        <v>4100</v>
      </c>
      <c r="J33" s="20">
        <f>Booking[[#This Row],[Цена_за_ночь (ВПР)]]*Booking[[#This Row],[Ночей]]</f>
        <v>12300</v>
      </c>
      <c r="K33" s="12">
        <f>Booking[[#This Row],[Дата_заезда]] + Booking[[#This Row],[Ночей]]</f>
        <v>46060</v>
      </c>
      <c r="L33" s="29" t="str">
        <f>TEXT(Booking[[#This Row],[Дата_заезда]], "ММММ ГГГГ")</f>
        <v>Февраль 2026</v>
      </c>
    </row>
    <row r="34" spans="1:12" x14ac:dyDescent="0.25">
      <c r="A34" s="22" t="s">
        <v>185</v>
      </c>
      <c r="B34" s="3" t="s">
        <v>22</v>
      </c>
      <c r="C34" s="3" t="s">
        <v>87</v>
      </c>
      <c r="D34" s="12">
        <v>46058</v>
      </c>
      <c r="E34" s="13">
        <v>4</v>
      </c>
      <c r="F34" s="3" t="s">
        <v>207</v>
      </c>
      <c r="G34" s="3" t="str">
        <f>VLOOKUP(B34, Guests[],2,FALSE)</f>
        <v>Новикова Елена Владимировна</v>
      </c>
      <c r="H34" s="17" t="str">
        <f>VLOOKUP(C34, Rooms[], 2, FALSE)</f>
        <v>Стандарт (TWIN)</v>
      </c>
      <c r="I34" s="20">
        <f>VLOOKUP(C34, Rooms[], 3, FALSE)</f>
        <v>4100</v>
      </c>
      <c r="J34" s="20">
        <f>Booking[[#This Row],[Цена_за_ночь (ВПР)]]*Booking[[#This Row],[Ночей]]</f>
        <v>16400</v>
      </c>
      <c r="K34" s="12">
        <f>Booking[[#This Row],[Дата_заезда]] + Booking[[#This Row],[Ночей]]</f>
        <v>46062</v>
      </c>
      <c r="L34" s="29" t="str">
        <f>TEXT(Booking[[#This Row],[Дата_заезда]], "ММММ ГГГГ")</f>
        <v>Февраль 2026</v>
      </c>
    </row>
    <row r="35" spans="1:12" x14ac:dyDescent="0.25">
      <c r="A35" s="22" t="s">
        <v>186</v>
      </c>
      <c r="B35" s="3" t="s">
        <v>43</v>
      </c>
      <c r="C35" s="3" t="s">
        <v>131</v>
      </c>
      <c r="D35" s="12">
        <v>46059</v>
      </c>
      <c r="E35" s="13">
        <v>4</v>
      </c>
      <c r="F35" s="3" t="s">
        <v>206</v>
      </c>
      <c r="G35" s="3" t="str">
        <f>VLOOKUP(B35, Guests[],2,FALSE)</f>
        <v>Зайцева Марина Николаевна</v>
      </c>
      <c r="H35" s="17" t="str">
        <f>VLOOKUP(C35, Rooms[], 2, FALSE)</f>
        <v>Комфорт (JSDB)</v>
      </c>
      <c r="I35" s="20">
        <f>VLOOKUP(C35, Rooms[], 3, FALSE)</f>
        <v>4500</v>
      </c>
      <c r="J35" s="20">
        <f>Booking[[#This Row],[Цена_за_ночь (ВПР)]]*Booking[[#This Row],[Ночей]]</f>
        <v>18000</v>
      </c>
      <c r="K35" s="12">
        <f>Booking[[#This Row],[Дата_заезда]] + Booking[[#This Row],[Ночей]]</f>
        <v>46063</v>
      </c>
      <c r="L35" s="29" t="str">
        <f>TEXT(Booking[[#This Row],[Дата_заезда]], "ММММ ГГГГ")</f>
        <v>Февраль 2026</v>
      </c>
    </row>
    <row r="36" spans="1:12" x14ac:dyDescent="0.25">
      <c r="A36" s="22" t="s">
        <v>187</v>
      </c>
      <c r="B36" s="3" t="s">
        <v>43</v>
      </c>
      <c r="C36" s="3" t="s">
        <v>66</v>
      </c>
      <c r="D36" s="12">
        <v>46060</v>
      </c>
      <c r="E36" s="13">
        <v>2</v>
      </c>
      <c r="F36" s="3" t="s">
        <v>207</v>
      </c>
      <c r="G36" s="3" t="str">
        <f>VLOOKUP(B36, Guests[],2,FALSE)</f>
        <v>Зайцева Марина Николаевна</v>
      </c>
      <c r="H36" s="17" t="str">
        <f>VLOOKUP(C36, Rooms[], 2, FALSE)</f>
        <v>Стандарт (DBL)</v>
      </c>
      <c r="I36" s="20">
        <f>VLOOKUP(C36, Rooms[], 3, FALSE)</f>
        <v>4100</v>
      </c>
      <c r="J36" s="20">
        <f>Booking[[#This Row],[Цена_за_ночь (ВПР)]]*Booking[[#This Row],[Ночей]]</f>
        <v>8200</v>
      </c>
      <c r="K36" s="12">
        <f>Booking[[#This Row],[Дата_заезда]] + Booking[[#This Row],[Ночей]]</f>
        <v>46062</v>
      </c>
      <c r="L36" s="29" t="str">
        <f>TEXT(Booking[[#This Row],[Дата_заезда]], "ММММ ГГГГ")</f>
        <v>Февраль 2026</v>
      </c>
    </row>
    <row r="37" spans="1:12" x14ac:dyDescent="0.25">
      <c r="A37" s="22" t="s">
        <v>188</v>
      </c>
      <c r="B37" s="3" t="s">
        <v>30</v>
      </c>
      <c r="C37" s="3" t="s">
        <v>115</v>
      </c>
      <c r="D37" s="12">
        <v>46061</v>
      </c>
      <c r="E37" s="13">
        <v>5</v>
      </c>
      <c r="F37" s="3" t="s">
        <v>207</v>
      </c>
      <c r="G37" s="3" t="str">
        <f>VLOOKUP(B37, Guests[],2,FALSE)</f>
        <v>Смирнова Наталья Алексеевна</v>
      </c>
      <c r="H37" s="17" t="str">
        <f>VLOOKUP(C37, Rooms[], 2, FALSE)</f>
        <v>Стандарт (TWIN)</v>
      </c>
      <c r="I37" s="20">
        <f>VLOOKUP(C37, Rooms[], 3, FALSE)</f>
        <v>4100</v>
      </c>
      <c r="J37" s="20">
        <f>Booking[[#This Row],[Цена_за_ночь (ВПР)]]*Booking[[#This Row],[Ночей]]</f>
        <v>20500</v>
      </c>
      <c r="K37" s="12">
        <f>Booking[[#This Row],[Дата_заезда]] + Booking[[#This Row],[Ночей]]</f>
        <v>46066</v>
      </c>
      <c r="L37" s="29" t="str">
        <f>TEXT(Booking[[#This Row],[Дата_заезда]], "ММММ ГГГГ")</f>
        <v>Февраль 2026</v>
      </c>
    </row>
    <row r="38" spans="1:12" x14ac:dyDescent="0.25">
      <c r="A38" s="22" t="s">
        <v>189</v>
      </c>
      <c r="B38" s="3" t="s">
        <v>14</v>
      </c>
      <c r="C38" s="3" t="s">
        <v>105</v>
      </c>
      <c r="D38" s="12">
        <v>46062</v>
      </c>
      <c r="E38" s="13">
        <v>1</v>
      </c>
      <c r="F38" s="3" t="s">
        <v>207</v>
      </c>
      <c r="G38" s="3" t="str">
        <f>VLOOKUP(B38, Guests[],2,FALSE)</f>
        <v>Петров Пётр Сергеевич</v>
      </c>
      <c r="H38" s="17" t="str">
        <f>VLOOKUP(C38, Rooms[], 2, FALSE)</f>
        <v>Стандарт (TWIN)</v>
      </c>
      <c r="I38" s="20">
        <f>VLOOKUP(C38, Rooms[], 3, FALSE)</f>
        <v>4100</v>
      </c>
      <c r="J38" s="20">
        <f>Booking[[#This Row],[Цена_за_ночь (ВПР)]]*Booking[[#This Row],[Ночей]]</f>
        <v>4100</v>
      </c>
      <c r="K38" s="12">
        <f>Booking[[#This Row],[Дата_заезда]] + Booking[[#This Row],[Ночей]]</f>
        <v>46063</v>
      </c>
      <c r="L38" s="29" t="str">
        <f>TEXT(Booking[[#This Row],[Дата_заезда]], "ММММ ГГГГ")</f>
        <v>Февраль 2026</v>
      </c>
    </row>
    <row r="39" spans="1:12" x14ac:dyDescent="0.25">
      <c r="A39" s="22" t="s">
        <v>190</v>
      </c>
      <c r="B39" s="3" t="s">
        <v>30</v>
      </c>
      <c r="C39" s="3" t="s">
        <v>129</v>
      </c>
      <c r="D39" s="12">
        <v>46063</v>
      </c>
      <c r="E39" s="13">
        <v>1</v>
      </c>
      <c r="F39" s="3" t="s">
        <v>206</v>
      </c>
      <c r="G39" s="3" t="str">
        <f>VLOOKUP(B39, Guests[],2,FALSE)</f>
        <v>Смирнова Наталья Алексеевна</v>
      </c>
      <c r="H39" s="17" t="str">
        <f>VLOOKUP(C39, Rooms[], 2, FALSE)</f>
        <v>Комфорт (JSDB)</v>
      </c>
      <c r="I39" s="20">
        <f>VLOOKUP(C39, Rooms[], 3, FALSE)</f>
        <v>4500</v>
      </c>
      <c r="J39" s="20">
        <f>Booking[[#This Row],[Цена_за_ночь (ВПР)]]*Booking[[#This Row],[Ночей]]</f>
        <v>4500</v>
      </c>
      <c r="K39" s="12">
        <f>Booking[[#This Row],[Дата_заезда]] + Booking[[#This Row],[Ночей]]</f>
        <v>46064</v>
      </c>
      <c r="L39" s="29" t="str">
        <f>TEXT(Booking[[#This Row],[Дата_заезда]], "ММММ ГГГГ")</f>
        <v>Февраль 2026</v>
      </c>
    </row>
    <row r="40" spans="1:12" x14ac:dyDescent="0.25">
      <c r="A40" s="22" t="s">
        <v>191</v>
      </c>
      <c r="B40" s="3" t="s">
        <v>31</v>
      </c>
      <c r="C40" s="3" t="s">
        <v>141</v>
      </c>
      <c r="D40" s="12">
        <v>46064</v>
      </c>
      <c r="E40" s="13">
        <v>6</v>
      </c>
      <c r="F40" s="3" t="s">
        <v>207</v>
      </c>
      <c r="G40" s="3" t="str">
        <f>VLOOKUP(B40, Guests[],2,FALSE)</f>
        <v>Соколов Игорь Петрович</v>
      </c>
      <c r="H40" s="17" t="str">
        <f>VLOOKUP(C40, Rooms[], 2, FALSE)</f>
        <v>Стандарт (TWIN)</v>
      </c>
      <c r="I40" s="20">
        <f>VLOOKUP(C40, Rooms[], 3, FALSE)</f>
        <v>4100</v>
      </c>
      <c r="J40" s="20">
        <f>Booking[[#This Row],[Цена_за_ночь (ВПР)]]*Booking[[#This Row],[Ночей]]</f>
        <v>24600</v>
      </c>
      <c r="K40" s="12">
        <f>Booking[[#This Row],[Дата_заезда]] + Booking[[#This Row],[Ночей]]</f>
        <v>46070</v>
      </c>
      <c r="L40" s="29" t="str">
        <f>TEXT(Booking[[#This Row],[Дата_заезда]], "ММММ ГГГГ")</f>
        <v>Февраль 2026</v>
      </c>
    </row>
    <row r="41" spans="1:12" x14ac:dyDescent="0.25">
      <c r="A41" s="22" t="s">
        <v>192</v>
      </c>
      <c r="B41" s="3" t="s">
        <v>22</v>
      </c>
      <c r="C41" s="3" t="s">
        <v>150</v>
      </c>
      <c r="D41" s="12">
        <v>46065</v>
      </c>
      <c r="E41" s="13">
        <v>3</v>
      </c>
      <c r="F41" s="3" t="s">
        <v>206</v>
      </c>
      <c r="G41" s="3" t="str">
        <f>VLOOKUP(B41, Guests[],2,FALSE)</f>
        <v>Новикова Елена Владимировна</v>
      </c>
      <c r="H41" s="17" t="str">
        <f>VLOOKUP(C41, Rooms[], 2, FALSE)</f>
        <v>Стандарт (DBL)</v>
      </c>
      <c r="I41" s="20">
        <f>VLOOKUP(C41, Rooms[], 3, FALSE)</f>
        <v>4100</v>
      </c>
      <c r="J41" s="20">
        <f>Booking[[#This Row],[Цена_за_ночь (ВПР)]]*Booking[[#This Row],[Ночей]]</f>
        <v>12300</v>
      </c>
      <c r="K41" s="12">
        <f>Booking[[#This Row],[Дата_заезда]] + Booking[[#This Row],[Ночей]]</f>
        <v>46068</v>
      </c>
      <c r="L41" s="29" t="str">
        <f>TEXT(Booking[[#This Row],[Дата_заезда]], "ММММ ГГГГ")</f>
        <v>Февраль 2026</v>
      </c>
    </row>
    <row r="42" spans="1:12" x14ac:dyDescent="0.25">
      <c r="A42" s="22" t="s">
        <v>193</v>
      </c>
      <c r="B42" s="3" t="s">
        <v>32</v>
      </c>
      <c r="C42" s="3" t="s">
        <v>66</v>
      </c>
      <c r="D42" s="12">
        <v>46066</v>
      </c>
      <c r="E42" s="13">
        <v>4</v>
      </c>
      <c r="F42" s="3" t="s">
        <v>207</v>
      </c>
      <c r="G42" s="3" t="str">
        <f>VLOOKUP(B42, Guests[],2,FALSE)</f>
        <v>Павлова Юлия Андреевна</v>
      </c>
      <c r="H42" s="17" t="str">
        <f>VLOOKUP(C42, Rooms[], 2, FALSE)</f>
        <v>Стандарт (DBL)</v>
      </c>
      <c r="I42" s="20">
        <f>VLOOKUP(C42, Rooms[], 3, FALSE)</f>
        <v>4100</v>
      </c>
      <c r="J42" s="20">
        <f>Booking[[#This Row],[Цена_за_ночь (ВПР)]]*Booking[[#This Row],[Ночей]]</f>
        <v>16400</v>
      </c>
      <c r="K42" s="12">
        <f>Booking[[#This Row],[Дата_заезда]] + Booking[[#This Row],[Ночей]]</f>
        <v>46070</v>
      </c>
      <c r="L42" s="29" t="str">
        <f>TEXT(Booking[[#This Row],[Дата_заезда]], "ММММ ГГГГ")</f>
        <v>Февраль 2026</v>
      </c>
    </row>
    <row r="43" spans="1:12" x14ac:dyDescent="0.25">
      <c r="A43" s="22" t="s">
        <v>194</v>
      </c>
      <c r="B43" s="3" t="s">
        <v>41</v>
      </c>
      <c r="C43" s="3" t="s">
        <v>125</v>
      </c>
      <c r="D43" s="12">
        <v>46067</v>
      </c>
      <c r="E43" s="13">
        <v>1</v>
      </c>
      <c r="F43" s="3" t="s">
        <v>206</v>
      </c>
      <c r="G43" s="3" t="str">
        <f>VLOOKUP(B43, Guests[],2,FALSE)</f>
        <v>Жуков Сергей Викторович</v>
      </c>
      <c r="H43" s="17" t="str">
        <f>VLOOKUP(C43, Rooms[], 2, FALSE)</f>
        <v>Стандарт (TWIN)</v>
      </c>
      <c r="I43" s="20">
        <f>VLOOKUP(C43, Rooms[], 3, FALSE)</f>
        <v>4100</v>
      </c>
      <c r="J43" s="20">
        <f>Booking[[#This Row],[Цена_за_ночь (ВПР)]]*Booking[[#This Row],[Ночей]]</f>
        <v>4100</v>
      </c>
      <c r="K43" s="12">
        <f>Booking[[#This Row],[Дата_заезда]] + Booking[[#This Row],[Ночей]]</f>
        <v>46068</v>
      </c>
      <c r="L43" s="29" t="str">
        <f>TEXT(Booking[[#This Row],[Дата_заезда]], "ММММ ГГГГ")</f>
        <v>Февраль 2026</v>
      </c>
    </row>
    <row r="44" spans="1:12" x14ac:dyDescent="0.25">
      <c r="A44" s="22" t="s">
        <v>195</v>
      </c>
      <c r="B44" s="3" t="s">
        <v>27</v>
      </c>
      <c r="C44" s="3" t="s">
        <v>131</v>
      </c>
      <c r="D44" s="12">
        <v>46068</v>
      </c>
      <c r="E44" s="13">
        <v>4</v>
      </c>
      <c r="F44" s="3" t="s">
        <v>207</v>
      </c>
      <c r="G44" s="3" t="str">
        <f>VLOOKUP(B44, Guests[],2,FALSE)</f>
        <v>Васильев Андрей Николаевич</v>
      </c>
      <c r="H44" s="17" t="str">
        <f>VLOOKUP(C44, Rooms[], 2, FALSE)</f>
        <v>Комфорт (JSDB)</v>
      </c>
      <c r="I44" s="20">
        <f>VLOOKUP(C44, Rooms[], 3, FALSE)</f>
        <v>4500</v>
      </c>
      <c r="J44" s="20">
        <f>Booking[[#This Row],[Цена_за_ночь (ВПР)]]*Booking[[#This Row],[Ночей]]</f>
        <v>18000</v>
      </c>
      <c r="K44" s="12">
        <f>Booking[[#This Row],[Дата_заезда]] + Booking[[#This Row],[Ночей]]</f>
        <v>46072</v>
      </c>
      <c r="L44" s="29" t="str">
        <f>TEXT(Booking[[#This Row],[Дата_заезда]], "ММММ ГГГГ")</f>
        <v>Февраль 2026</v>
      </c>
    </row>
    <row r="45" spans="1:12" x14ac:dyDescent="0.25">
      <c r="A45" s="22" t="s">
        <v>196</v>
      </c>
      <c r="B45" s="3" t="s">
        <v>38</v>
      </c>
      <c r="C45" s="3" t="s">
        <v>106</v>
      </c>
      <c r="D45" s="12">
        <v>46069</v>
      </c>
      <c r="E45" s="13">
        <v>1</v>
      </c>
      <c r="F45" s="3" t="s">
        <v>208</v>
      </c>
      <c r="G45" s="3" t="str">
        <f>VLOOKUP(B45, Guests[],2,FALSE)</f>
        <v>Орлов Дмитрий Евгеньевич</v>
      </c>
      <c r="H45" s="17" t="str">
        <f>VLOOKUP(C45, Rooms[], 2, FALSE)</f>
        <v>Стандарт (DBL)</v>
      </c>
      <c r="I45" s="20">
        <f>VLOOKUP(C45, Rooms[], 3, FALSE)</f>
        <v>4100</v>
      </c>
      <c r="J45" s="20">
        <f>Booking[[#This Row],[Цена_за_ночь (ВПР)]]*Booking[[#This Row],[Ночей]]</f>
        <v>4100</v>
      </c>
      <c r="K45" s="12">
        <f>Booking[[#This Row],[Дата_заезда]] + Booking[[#This Row],[Ночей]]</f>
        <v>46070</v>
      </c>
      <c r="L45" s="29" t="str">
        <f>TEXT(Booking[[#This Row],[Дата_заезда]], "ММММ ГГГГ")</f>
        <v>Февраль 2026</v>
      </c>
    </row>
    <row r="46" spans="1:12" x14ac:dyDescent="0.25">
      <c r="A46" s="22" t="s">
        <v>197</v>
      </c>
      <c r="B46" s="3" t="s">
        <v>22</v>
      </c>
      <c r="C46" s="3" t="s">
        <v>112</v>
      </c>
      <c r="D46" s="12">
        <v>46070</v>
      </c>
      <c r="E46" s="13">
        <v>6</v>
      </c>
      <c r="F46" s="3" t="s">
        <v>207</v>
      </c>
      <c r="G46" s="3" t="str">
        <f>VLOOKUP(B46, Guests[],2,FALSE)</f>
        <v>Новикова Елена Владимировна</v>
      </c>
      <c r="H46" s="17" t="str">
        <f>VLOOKUP(C46, Rooms[], 2, FALSE)</f>
        <v>Комфорт (JSDB)</v>
      </c>
      <c r="I46" s="20">
        <f>VLOOKUP(C46, Rooms[], 3, FALSE)</f>
        <v>4500</v>
      </c>
      <c r="J46" s="20">
        <f>Booking[[#This Row],[Цена_за_ночь (ВПР)]]*Booking[[#This Row],[Ночей]]</f>
        <v>27000</v>
      </c>
      <c r="K46" s="12">
        <f>Booking[[#This Row],[Дата_заезда]] + Booking[[#This Row],[Ночей]]</f>
        <v>46076</v>
      </c>
      <c r="L46" s="29" t="str">
        <f>TEXT(Booking[[#This Row],[Дата_заезда]], "ММММ ГГГГ")</f>
        <v>Февраль 2026</v>
      </c>
    </row>
    <row r="47" spans="1:12" x14ac:dyDescent="0.25">
      <c r="A47" s="22" t="s">
        <v>198</v>
      </c>
      <c r="B47" s="3" t="s">
        <v>17</v>
      </c>
      <c r="C47" s="3" t="s">
        <v>111</v>
      </c>
      <c r="D47" s="12">
        <v>46071</v>
      </c>
      <c r="E47" s="13">
        <v>2</v>
      </c>
      <c r="F47" s="3" t="s">
        <v>206</v>
      </c>
      <c r="G47" s="3" t="str">
        <f>VLOOKUP(B47, Guests[],2,FALSE)</f>
        <v>Сидорова Анна Павловна</v>
      </c>
      <c r="H47" s="17" t="str">
        <f>VLOOKUP(C47, Rooms[], 2, FALSE)</f>
        <v>Комфорт (JSDB)</v>
      </c>
      <c r="I47" s="20">
        <f>VLOOKUP(C47, Rooms[], 3, FALSE)</f>
        <v>4500</v>
      </c>
      <c r="J47" s="20">
        <f>Booking[[#This Row],[Цена_за_ночь (ВПР)]]*Booking[[#This Row],[Ночей]]</f>
        <v>9000</v>
      </c>
      <c r="K47" s="12">
        <f>Booking[[#This Row],[Дата_заезда]] + Booking[[#This Row],[Ночей]]</f>
        <v>46073</v>
      </c>
      <c r="L47" s="29" t="str">
        <f>TEXT(Booking[[#This Row],[Дата_заезда]], "ММММ ГГГГ")</f>
        <v>Февраль 2026</v>
      </c>
    </row>
    <row r="48" spans="1:12" x14ac:dyDescent="0.25">
      <c r="A48" s="22" t="s">
        <v>199</v>
      </c>
      <c r="B48" s="3" t="s">
        <v>22</v>
      </c>
      <c r="C48" s="3" t="s">
        <v>102</v>
      </c>
      <c r="D48" s="12">
        <v>46072</v>
      </c>
      <c r="E48" s="13">
        <v>1</v>
      </c>
      <c r="F48" s="3" t="s">
        <v>207</v>
      </c>
      <c r="G48" s="3" t="str">
        <f>VLOOKUP(B48, Guests[],2,FALSE)</f>
        <v>Новикова Елена Владимировна</v>
      </c>
      <c r="H48" s="17" t="str">
        <f>VLOOKUP(C48, Rooms[], 2, FALSE)</f>
        <v>Стандарт (DBL)</v>
      </c>
      <c r="I48" s="20">
        <f>VLOOKUP(C48, Rooms[], 3, FALSE)</f>
        <v>4100</v>
      </c>
      <c r="J48" s="20">
        <f>Booking[[#This Row],[Цена_за_ночь (ВПР)]]*Booking[[#This Row],[Ночей]]</f>
        <v>4100</v>
      </c>
      <c r="K48" s="12">
        <f>Booking[[#This Row],[Дата_заезда]] + Booking[[#This Row],[Ночей]]</f>
        <v>46073</v>
      </c>
      <c r="L48" s="29" t="str">
        <f>TEXT(Booking[[#This Row],[Дата_заезда]], "ММММ ГГГГ")</f>
        <v>Февраль 2026</v>
      </c>
    </row>
    <row r="49" spans="1:12" x14ac:dyDescent="0.25">
      <c r="A49" s="22" t="s">
        <v>200</v>
      </c>
      <c r="B49" s="3" t="s">
        <v>41</v>
      </c>
      <c r="C49" s="3" t="s">
        <v>147</v>
      </c>
      <c r="D49" s="12">
        <v>46073</v>
      </c>
      <c r="E49" s="13">
        <v>6</v>
      </c>
      <c r="F49" s="3" t="s">
        <v>207</v>
      </c>
      <c r="G49" s="3" t="str">
        <f>VLOOKUP(B49, Guests[],2,FALSE)</f>
        <v>Жуков Сергей Викторович</v>
      </c>
      <c r="H49" s="17" t="str">
        <f>VLOOKUP(C49, Rooms[], 2, FALSE)</f>
        <v>Стандарт (TWIN)</v>
      </c>
      <c r="I49" s="20">
        <f>VLOOKUP(C49, Rooms[], 3, FALSE)</f>
        <v>4100</v>
      </c>
      <c r="J49" s="20">
        <f>Booking[[#This Row],[Цена_за_ночь (ВПР)]]*Booking[[#This Row],[Ночей]]</f>
        <v>24600</v>
      </c>
      <c r="K49" s="12">
        <f>Booking[[#This Row],[Дата_заезда]] + Booking[[#This Row],[Ночей]]</f>
        <v>46079</v>
      </c>
      <c r="L49" s="29" t="str">
        <f>TEXT(Booking[[#This Row],[Дата_заезда]], "ММММ ГГГГ")</f>
        <v>Февраль 2026</v>
      </c>
    </row>
    <row r="50" spans="1:12" x14ac:dyDescent="0.25">
      <c r="A50" s="22" t="s">
        <v>201</v>
      </c>
      <c r="B50" s="3" t="s">
        <v>34</v>
      </c>
      <c r="C50" s="3" t="s">
        <v>126</v>
      </c>
      <c r="D50" s="12">
        <v>46074</v>
      </c>
      <c r="E50" s="13">
        <v>3</v>
      </c>
      <c r="F50" s="3" t="s">
        <v>207</v>
      </c>
      <c r="G50" s="3" t="str">
        <f>VLOOKUP(B50, Guests[],2,FALSE)</f>
        <v>Федоров Максим Олегович</v>
      </c>
      <c r="H50" s="17" t="str">
        <f>VLOOKUP(C50, Rooms[], 2, FALSE)</f>
        <v>Стандарт (DBL)</v>
      </c>
      <c r="I50" s="20">
        <f>VLOOKUP(C50, Rooms[], 3, FALSE)</f>
        <v>4100</v>
      </c>
      <c r="J50" s="20">
        <f>Booking[[#This Row],[Цена_за_ночь (ВПР)]]*Booking[[#This Row],[Ночей]]</f>
        <v>12300</v>
      </c>
      <c r="K50" s="12">
        <f>Booking[[#This Row],[Дата_заезда]] + Booking[[#This Row],[Ночей]]</f>
        <v>46077</v>
      </c>
      <c r="L50" s="29" t="str">
        <f>TEXT(Booking[[#This Row],[Дата_заезда]], "ММММ ГГГГ")</f>
        <v>Февраль 2026</v>
      </c>
    </row>
    <row r="51" spans="1:12" x14ac:dyDescent="0.25">
      <c r="A51" s="22" t="s">
        <v>202</v>
      </c>
      <c r="B51" s="3" t="s">
        <v>19</v>
      </c>
      <c r="C51" s="3" t="s">
        <v>151</v>
      </c>
      <c r="D51" s="12">
        <v>46075</v>
      </c>
      <c r="E51" s="13">
        <v>5</v>
      </c>
      <c r="F51" s="3" t="s">
        <v>207</v>
      </c>
      <c r="G51" s="3" t="str">
        <f>VLOOKUP(B51, Guests[],2,FALSE)</f>
        <v>Козлов Дмитрий Александрович</v>
      </c>
      <c r="H51" s="17" t="str">
        <f>VLOOKUP(C51, Rooms[], 2, FALSE)</f>
        <v>Комфорт (JSDB)</v>
      </c>
      <c r="I51" s="20">
        <f>VLOOKUP(C51, Rooms[], 3, FALSE)</f>
        <v>4500</v>
      </c>
      <c r="J51" s="20">
        <f>Booking[[#This Row],[Цена_за_ночь (ВПР)]]*Booking[[#This Row],[Ночей]]</f>
        <v>22500</v>
      </c>
      <c r="K51" s="12">
        <f>Booking[[#This Row],[Дата_заезда]] + Booking[[#This Row],[Ночей]]</f>
        <v>46080</v>
      </c>
      <c r="L51" s="29" t="str">
        <f>TEXT(Booking[[#This Row],[Дата_заезда]], "ММММ ГГГГ")</f>
        <v>Февраль 2026</v>
      </c>
    </row>
    <row r="52" spans="1:12" x14ac:dyDescent="0.25">
      <c r="A52" s="22" t="s">
        <v>203</v>
      </c>
      <c r="B52" s="3" t="s">
        <v>23</v>
      </c>
      <c r="C52" s="3" t="s">
        <v>112</v>
      </c>
      <c r="D52" s="12">
        <v>46076</v>
      </c>
      <c r="E52" s="13">
        <v>1</v>
      </c>
      <c r="F52" s="3" t="s">
        <v>206</v>
      </c>
      <c r="G52" s="3" t="str">
        <f>VLOOKUP(B52, Guests[],2,FALSE)</f>
        <v>Морозов Сергей Михайлович</v>
      </c>
      <c r="H52" s="17" t="str">
        <f>VLOOKUP(C52, Rooms[], 2, FALSE)</f>
        <v>Комфорт (JSDB)</v>
      </c>
      <c r="I52" s="20">
        <f>VLOOKUP(C52, Rooms[], 3, FALSE)</f>
        <v>4500</v>
      </c>
      <c r="J52" s="20">
        <f>Booking[[#This Row],[Цена_за_ночь (ВПР)]]*Booking[[#This Row],[Ночей]]</f>
        <v>4500</v>
      </c>
      <c r="K52" s="12">
        <f>Booking[[#This Row],[Дата_заезда]] + Booking[[#This Row],[Ночей]]</f>
        <v>46077</v>
      </c>
      <c r="L52" s="29" t="str">
        <f>TEXT(Booking[[#This Row],[Дата_заезда]], "ММММ ГГГГ")</f>
        <v>Февраль 2026</v>
      </c>
    </row>
    <row r="53" spans="1:12" x14ac:dyDescent="0.25">
      <c r="A53" s="22" t="s">
        <v>204</v>
      </c>
      <c r="B53" s="3" t="s">
        <v>22</v>
      </c>
      <c r="C53" s="3" t="s">
        <v>140</v>
      </c>
      <c r="D53" s="12">
        <v>46077</v>
      </c>
      <c r="E53" s="13">
        <v>2</v>
      </c>
      <c r="F53" s="3" t="s">
        <v>207</v>
      </c>
      <c r="G53" s="3" t="str">
        <f>VLOOKUP(B53, Guests[],2,FALSE)</f>
        <v>Новикова Елена Владимировна</v>
      </c>
      <c r="H53" s="17" t="str">
        <f>VLOOKUP(C53, Rooms[], 2, FALSE)</f>
        <v>Комфорт (JSDB)</v>
      </c>
      <c r="I53" s="20">
        <f>VLOOKUP(C53, Rooms[], 3, FALSE)</f>
        <v>4500</v>
      </c>
      <c r="J53" s="20">
        <f>Booking[[#This Row],[Цена_за_ночь (ВПР)]]*Booking[[#This Row],[Ночей]]</f>
        <v>9000</v>
      </c>
      <c r="K53" s="12">
        <f>Booking[[#This Row],[Дата_заезда]] + Booking[[#This Row],[Ночей]]</f>
        <v>46079</v>
      </c>
      <c r="L53" s="29" t="str">
        <f>TEXT(Booking[[#This Row],[Дата_заезда]], "ММММ ГГГГ")</f>
        <v>Февраль 2026</v>
      </c>
    </row>
    <row r="54" spans="1:12" x14ac:dyDescent="0.25">
      <c r="A54" s="23" t="s">
        <v>205</v>
      </c>
      <c r="B54" s="24" t="s">
        <v>31</v>
      </c>
      <c r="C54" s="24" t="s">
        <v>148</v>
      </c>
      <c r="D54" s="25">
        <v>46078</v>
      </c>
      <c r="E54" s="26">
        <v>5</v>
      </c>
      <c r="F54" s="24" t="s">
        <v>207</v>
      </c>
      <c r="G54" s="24" t="str">
        <f>VLOOKUP(B54, Guests[],2,FALSE)</f>
        <v>Соколов Игорь Петрович</v>
      </c>
      <c r="H54" s="27" t="str">
        <f>VLOOKUP(C54, Rooms[], 2, FALSE)</f>
        <v>Стандарт (DBL)</v>
      </c>
      <c r="I54" s="28">
        <f>VLOOKUP(C54, Rooms[], 3, FALSE)</f>
        <v>4100</v>
      </c>
      <c r="J54" s="20">
        <f>Booking[[#This Row],[Цена_за_ночь (ВПР)]]*Booking[[#This Row],[Ночей]]</f>
        <v>20500</v>
      </c>
      <c r="K54" s="12">
        <f>Booking[[#This Row],[Дата_заезда]] + Booking[[#This Row],[Ночей]]</f>
        <v>46083</v>
      </c>
      <c r="L54" s="40" t="str">
        <f>TEXT(Booking[[#This Row],[Дата_заезда]], "ММММ ГГГГ")</f>
        <v>Февраль 2026</v>
      </c>
    </row>
    <row r="55" spans="1:12" x14ac:dyDescent="0.25">
      <c r="L55" s="41"/>
    </row>
    <row r="56" spans="1:12" x14ac:dyDescent="0.25">
      <c r="L56" s="41"/>
    </row>
    <row r="57" spans="1:12" x14ac:dyDescent="0.25">
      <c r="L57" s="41"/>
    </row>
    <row r="58" spans="1:12" x14ac:dyDescent="0.25">
      <c r="L58" s="41"/>
    </row>
    <row r="59" spans="1:12" x14ac:dyDescent="0.25">
      <c r="L59" s="41"/>
    </row>
    <row r="60" spans="1:12" x14ac:dyDescent="0.25">
      <c r="L60" s="41"/>
    </row>
    <row r="61" spans="1:12" x14ac:dyDescent="0.25">
      <c r="L61" s="4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sqref="A1:D1"/>
    </sheetView>
  </sheetViews>
  <sheetFormatPr defaultRowHeight="15" x14ac:dyDescent="0.25"/>
  <cols>
    <col min="1" max="1" width="11.42578125" customWidth="1"/>
    <col min="2" max="2" width="31.7109375" bestFit="1" customWidth="1"/>
    <col min="3" max="3" width="17.7109375" bestFit="1" customWidth="1"/>
    <col min="4" max="4" width="14.85546875" customWidth="1"/>
  </cols>
  <sheetData>
    <row r="1" spans="1:4" ht="21" x14ac:dyDescent="0.35">
      <c r="A1" s="42" t="s">
        <v>97</v>
      </c>
      <c r="B1" s="42"/>
      <c r="C1" s="42"/>
      <c r="D1" s="42"/>
    </row>
    <row r="2" spans="1:4" x14ac:dyDescent="0.25">
      <c r="A2" s="4" t="s">
        <v>2</v>
      </c>
      <c r="B2" s="5" t="s">
        <v>6</v>
      </c>
      <c r="C2" s="4" t="s">
        <v>7</v>
      </c>
      <c r="D2" s="4" t="s">
        <v>8</v>
      </c>
    </row>
    <row r="3" spans="1:4" x14ac:dyDescent="0.25">
      <c r="A3" s="1" t="s">
        <v>45</v>
      </c>
      <c r="B3" s="2" t="s">
        <v>46</v>
      </c>
      <c r="C3" s="2" t="s">
        <v>12</v>
      </c>
      <c r="D3" s="2" t="s">
        <v>13</v>
      </c>
    </row>
    <row r="4" spans="1:4" x14ac:dyDescent="0.25">
      <c r="A4" s="1" t="s">
        <v>14</v>
      </c>
      <c r="B4" s="2" t="s">
        <v>47</v>
      </c>
      <c r="C4" s="2" t="s">
        <v>15</v>
      </c>
      <c r="D4" s="2" t="s">
        <v>16</v>
      </c>
    </row>
    <row r="5" spans="1:4" x14ac:dyDescent="0.25">
      <c r="A5" s="1" t="s">
        <v>17</v>
      </c>
      <c r="B5" s="2" t="s">
        <v>48</v>
      </c>
      <c r="C5" s="2" t="s">
        <v>18</v>
      </c>
      <c r="D5" s="2" t="s">
        <v>13</v>
      </c>
    </row>
    <row r="6" spans="1:4" x14ac:dyDescent="0.25">
      <c r="A6" s="1" t="s">
        <v>19</v>
      </c>
      <c r="B6" s="2" t="s">
        <v>49</v>
      </c>
      <c r="C6" s="2" t="s">
        <v>20</v>
      </c>
      <c r="D6" s="2" t="s">
        <v>16</v>
      </c>
    </row>
    <row r="7" spans="1:4" x14ac:dyDescent="0.25">
      <c r="A7" s="1" t="s">
        <v>22</v>
      </c>
      <c r="B7" s="2" t="s">
        <v>50</v>
      </c>
      <c r="C7" s="2" t="s">
        <v>12</v>
      </c>
      <c r="D7" s="2" t="s">
        <v>16</v>
      </c>
    </row>
    <row r="8" spans="1:4" x14ac:dyDescent="0.25">
      <c r="A8" s="1" t="s">
        <v>23</v>
      </c>
      <c r="B8" s="2" t="s">
        <v>51</v>
      </c>
      <c r="C8" s="2" t="s">
        <v>24</v>
      </c>
      <c r="D8" s="2" t="s">
        <v>13</v>
      </c>
    </row>
    <row r="9" spans="1:4" x14ac:dyDescent="0.25">
      <c r="A9" s="1" t="s">
        <v>25</v>
      </c>
      <c r="B9" s="2" t="s">
        <v>52</v>
      </c>
      <c r="C9" s="2" t="s">
        <v>26</v>
      </c>
      <c r="D9" s="2" t="s">
        <v>16</v>
      </c>
    </row>
    <row r="10" spans="1:4" x14ac:dyDescent="0.25">
      <c r="A10" s="1" t="s">
        <v>27</v>
      </c>
      <c r="B10" s="2" t="s">
        <v>53</v>
      </c>
      <c r="C10" s="2" t="s">
        <v>12</v>
      </c>
      <c r="D10" s="2" t="s">
        <v>21</v>
      </c>
    </row>
    <row r="11" spans="1:4" x14ac:dyDescent="0.25">
      <c r="A11" s="1" t="s">
        <v>28</v>
      </c>
      <c r="B11" s="2" t="s">
        <v>54</v>
      </c>
      <c r="C11" s="2" t="s">
        <v>18</v>
      </c>
      <c r="D11" s="2" t="s">
        <v>13</v>
      </c>
    </row>
    <row r="12" spans="1:4" x14ac:dyDescent="0.25">
      <c r="A12" s="1" t="s">
        <v>29</v>
      </c>
      <c r="B12" s="2" t="s">
        <v>55</v>
      </c>
      <c r="C12" s="2" t="s">
        <v>15</v>
      </c>
      <c r="D12" s="2" t="s">
        <v>16</v>
      </c>
    </row>
    <row r="13" spans="1:4" x14ac:dyDescent="0.25">
      <c r="A13" s="1" t="s">
        <v>30</v>
      </c>
      <c r="B13" s="2" t="s">
        <v>56</v>
      </c>
      <c r="C13" s="2" t="s">
        <v>20</v>
      </c>
      <c r="D13" s="2" t="s">
        <v>13</v>
      </c>
    </row>
    <row r="14" spans="1:4" x14ac:dyDescent="0.25">
      <c r="A14" s="1" t="s">
        <v>31</v>
      </c>
      <c r="B14" s="2" t="s">
        <v>57</v>
      </c>
      <c r="C14" s="2" t="s">
        <v>12</v>
      </c>
      <c r="D14" s="2" t="s">
        <v>21</v>
      </c>
    </row>
    <row r="15" spans="1:4" x14ac:dyDescent="0.25">
      <c r="A15" s="1" t="s">
        <v>32</v>
      </c>
      <c r="B15" s="2" t="s">
        <v>58</v>
      </c>
      <c r="C15" s="2" t="s">
        <v>33</v>
      </c>
      <c r="D15" s="2" t="s">
        <v>16</v>
      </c>
    </row>
    <row r="16" spans="1:4" x14ac:dyDescent="0.25">
      <c r="A16" s="1" t="s">
        <v>34</v>
      </c>
      <c r="B16" s="2" t="s">
        <v>59</v>
      </c>
      <c r="C16" s="2" t="s">
        <v>35</v>
      </c>
      <c r="D16" s="2" t="s">
        <v>13</v>
      </c>
    </row>
    <row r="17" spans="1:4" x14ac:dyDescent="0.25">
      <c r="A17" s="1" t="s">
        <v>36</v>
      </c>
      <c r="B17" s="2" t="s">
        <v>60</v>
      </c>
      <c r="C17" s="2" t="s">
        <v>37</v>
      </c>
      <c r="D17" s="2" t="s">
        <v>16</v>
      </c>
    </row>
    <row r="18" spans="1:4" x14ac:dyDescent="0.25">
      <c r="A18" s="1" t="s">
        <v>38</v>
      </c>
      <c r="B18" s="2" t="s">
        <v>61</v>
      </c>
      <c r="C18" s="2" t="s">
        <v>12</v>
      </c>
      <c r="D18" s="2" t="s">
        <v>13</v>
      </c>
    </row>
    <row r="19" spans="1:4" x14ac:dyDescent="0.25">
      <c r="A19" s="1" t="s">
        <v>39</v>
      </c>
      <c r="B19" s="2" t="s">
        <v>62</v>
      </c>
      <c r="C19" s="2" t="s">
        <v>40</v>
      </c>
      <c r="D19" s="2" t="s">
        <v>21</v>
      </c>
    </row>
    <row r="20" spans="1:4" x14ac:dyDescent="0.25">
      <c r="A20" s="1" t="s">
        <v>41</v>
      </c>
      <c r="B20" s="2" t="s">
        <v>63</v>
      </c>
      <c r="C20" s="2" t="s">
        <v>42</v>
      </c>
      <c r="D20" s="2" t="s">
        <v>16</v>
      </c>
    </row>
    <row r="21" spans="1:4" x14ac:dyDescent="0.25">
      <c r="A21" s="1" t="s">
        <v>43</v>
      </c>
      <c r="B21" s="2" t="s">
        <v>64</v>
      </c>
      <c r="C21" s="2" t="s">
        <v>18</v>
      </c>
      <c r="D21" s="2" t="s">
        <v>13</v>
      </c>
    </row>
    <row r="22" spans="1:4" x14ac:dyDescent="0.25">
      <c r="A22" s="1" t="s">
        <v>44</v>
      </c>
      <c r="B22" s="2" t="s">
        <v>65</v>
      </c>
      <c r="C22" s="2" t="s">
        <v>15</v>
      </c>
      <c r="D22" s="2" t="s">
        <v>16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0"/>
  <sheetViews>
    <sheetView zoomScale="115" zoomScaleNormal="115" workbookViewId="0">
      <selection sqref="A1:E1"/>
    </sheetView>
  </sheetViews>
  <sheetFormatPr defaultRowHeight="15" x14ac:dyDescent="0.25"/>
  <cols>
    <col min="1" max="1" width="12.28515625" bestFit="1" customWidth="1"/>
    <col min="2" max="2" width="21.5703125" bestFit="1" customWidth="1"/>
    <col min="3" max="3" width="16.28515625" bestFit="1" customWidth="1"/>
    <col min="4" max="4" width="10.28515625" bestFit="1" customWidth="1"/>
    <col min="5" max="5" width="7.85546875" bestFit="1" customWidth="1"/>
  </cols>
  <sheetData>
    <row r="1" spans="1:5" ht="18" customHeight="1" x14ac:dyDescent="0.35">
      <c r="A1" s="43" t="s">
        <v>98</v>
      </c>
      <c r="B1" s="44"/>
      <c r="C1" s="44"/>
      <c r="D1" s="44"/>
      <c r="E1" s="45"/>
    </row>
    <row r="2" spans="1:5" x14ac:dyDescent="0.25">
      <c r="A2" s="7" t="s">
        <v>3</v>
      </c>
      <c r="B2" s="7" t="s">
        <v>9</v>
      </c>
      <c r="C2" s="7" t="s">
        <v>10</v>
      </c>
      <c r="D2" s="8" t="s">
        <v>95</v>
      </c>
      <c r="E2" s="7" t="s">
        <v>11</v>
      </c>
    </row>
    <row r="3" spans="1:5" x14ac:dyDescent="0.25">
      <c r="A3" s="9" t="s">
        <v>66</v>
      </c>
      <c r="B3" s="14" t="s">
        <v>91</v>
      </c>
      <c r="C3" s="9">
        <f t="shared" ref="C3:C66" si="0">IF(B3="Стандарт (DBL)",4100, IF(B3="Стандарт (TWIN)",4100, IF(B3="Комфорт (JSDB)",4500, IF(B3="Люкс (SUITE)",7550, IF(B3="Президентский (PRES)",9600)))))</f>
        <v>4100</v>
      </c>
      <c r="D3" s="10">
        <v>2</v>
      </c>
      <c r="E3" s="9">
        <v>2</v>
      </c>
    </row>
    <row r="4" spans="1:5" x14ac:dyDescent="0.25">
      <c r="A4" s="9" t="s">
        <v>67</v>
      </c>
      <c r="B4" s="14" t="s">
        <v>92</v>
      </c>
      <c r="C4" s="9">
        <f t="shared" si="0"/>
        <v>4100</v>
      </c>
      <c r="D4" s="10">
        <v>2</v>
      </c>
      <c r="E4" s="9">
        <v>2</v>
      </c>
    </row>
    <row r="5" spans="1:5" x14ac:dyDescent="0.25">
      <c r="A5" s="9" t="s">
        <v>68</v>
      </c>
      <c r="B5" s="14" t="s">
        <v>91</v>
      </c>
      <c r="C5" s="9">
        <f t="shared" si="0"/>
        <v>4100</v>
      </c>
      <c r="D5" s="10">
        <v>2</v>
      </c>
      <c r="E5" s="9">
        <v>2</v>
      </c>
    </row>
    <row r="6" spans="1:5" x14ac:dyDescent="0.25">
      <c r="A6" s="9" t="s">
        <v>69</v>
      </c>
      <c r="B6" s="14" t="s">
        <v>92</v>
      </c>
      <c r="C6" s="9">
        <f t="shared" si="0"/>
        <v>4100</v>
      </c>
      <c r="D6" s="10">
        <v>2</v>
      </c>
      <c r="E6" s="9">
        <v>2</v>
      </c>
    </row>
    <row r="7" spans="1:5" x14ac:dyDescent="0.25">
      <c r="A7" s="9" t="s">
        <v>70</v>
      </c>
      <c r="B7" s="14" t="s">
        <v>96</v>
      </c>
      <c r="C7" s="9">
        <f t="shared" si="0"/>
        <v>4500</v>
      </c>
      <c r="D7" s="10">
        <v>2</v>
      </c>
      <c r="E7" s="9">
        <v>2</v>
      </c>
    </row>
    <row r="8" spans="1:5" x14ac:dyDescent="0.25">
      <c r="A8" s="9" t="s">
        <v>71</v>
      </c>
      <c r="B8" s="14" t="s">
        <v>92</v>
      </c>
      <c r="C8" s="9">
        <f t="shared" si="0"/>
        <v>4100</v>
      </c>
      <c r="D8" s="10">
        <v>2</v>
      </c>
      <c r="E8" s="9">
        <v>2</v>
      </c>
    </row>
    <row r="9" spans="1:5" x14ac:dyDescent="0.25">
      <c r="A9" s="9" t="s">
        <v>72</v>
      </c>
      <c r="B9" s="14" t="s">
        <v>91</v>
      </c>
      <c r="C9" s="9">
        <f t="shared" si="0"/>
        <v>4100</v>
      </c>
      <c r="D9" s="10">
        <v>2</v>
      </c>
      <c r="E9" s="9">
        <v>2</v>
      </c>
    </row>
    <row r="10" spans="1:5" x14ac:dyDescent="0.25">
      <c r="A10" s="9" t="s">
        <v>73</v>
      </c>
      <c r="B10" s="14" t="s">
        <v>92</v>
      </c>
      <c r="C10" s="9">
        <f t="shared" si="0"/>
        <v>4100</v>
      </c>
      <c r="D10" s="10">
        <v>2</v>
      </c>
      <c r="E10" s="9">
        <v>2</v>
      </c>
    </row>
    <row r="11" spans="1:5" x14ac:dyDescent="0.25">
      <c r="A11" s="9" t="s">
        <v>74</v>
      </c>
      <c r="B11" s="14" t="s">
        <v>91</v>
      </c>
      <c r="C11" s="9">
        <f t="shared" si="0"/>
        <v>4100</v>
      </c>
      <c r="D11" s="10">
        <v>2</v>
      </c>
      <c r="E11" s="9">
        <v>2</v>
      </c>
    </row>
    <row r="12" spans="1:5" x14ac:dyDescent="0.25">
      <c r="A12" s="9" t="s">
        <v>75</v>
      </c>
      <c r="B12" s="14" t="s">
        <v>92</v>
      </c>
      <c r="C12" s="9">
        <f t="shared" si="0"/>
        <v>4100</v>
      </c>
      <c r="D12" s="10">
        <v>2</v>
      </c>
      <c r="E12" s="9">
        <v>2</v>
      </c>
    </row>
    <row r="13" spans="1:5" x14ac:dyDescent="0.25">
      <c r="A13" s="9" t="s">
        <v>76</v>
      </c>
      <c r="B13" s="14" t="s">
        <v>96</v>
      </c>
      <c r="C13" s="9">
        <f t="shared" si="0"/>
        <v>4500</v>
      </c>
      <c r="D13" s="10">
        <v>2</v>
      </c>
      <c r="E13" s="9">
        <v>3</v>
      </c>
    </row>
    <row r="14" spans="1:5" x14ac:dyDescent="0.25">
      <c r="A14" s="9" t="s">
        <v>77</v>
      </c>
      <c r="B14" s="14" t="s">
        <v>92</v>
      </c>
      <c r="C14" s="9">
        <f t="shared" si="0"/>
        <v>4100</v>
      </c>
      <c r="D14" s="10">
        <v>2</v>
      </c>
      <c r="E14" s="9">
        <v>3</v>
      </c>
    </row>
    <row r="15" spans="1:5" x14ac:dyDescent="0.25">
      <c r="A15" s="9" t="s">
        <v>78</v>
      </c>
      <c r="B15" s="14" t="s">
        <v>91</v>
      </c>
      <c r="C15" s="9">
        <f t="shared" si="0"/>
        <v>4100</v>
      </c>
      <c r="D15" s="10">
        <v>2</v>
      </c>
      <c r="E15" s="9">
        <v>3</v>
      </c>
    </row>
    <row r="16" spans="1:5" x14ac:dyDescent="0.25">
      <c r="A16" s="9" t="s">
        <v>79</v>
      </c>
      <c r="B16" s="14" t="s">
        <v>92</v>
      </c>
      <c r="C16" s="9">
        <f t="shared" si="0"/>
        <v>4100</v>
      </c>
      <c r="D16" s="10">
        <v>2</v>
      </c>
      <c r="E16" s="9">
        <v>3</v>
      </c>
    </row>
    <row r="17" spans="1:5" x14ac:dyDescent="0.25">
      <c r="A17" s="9" t="s">
        <v>80</v>
      </c>
      <c r="B17" s="14" t="s">
        <v>91</v>
      </c>
      <c r="C17" s="9">
        <f t="shared" si="0"/>
        <v>4100</v>
      </c>
      <c r="D17" s="10">
        <v>2</v>
      </c>
      <c r="E17" s="9">
        <v>3</v>
      </c>
    </row>
    <row r="18" spans="1:5" x14ac:dyDescent="0.25">
      <c r="A18" s="9" t="s">
        <v>81</v>
      </c>
      <c r="B18" s="14" t="s">
        <v>96</v>
      </c>
      <c r="C18" s="9">
        <f t="shared" si="0"/>
        <v>4500</v>
      </c>
      <c r="D18" s="10">
        <v>2</v>
      </c>
      <c r="E18" s="9">
        <v>3</v>
      </c>
    </row>
    <row r="19" spans="1:5" x14ac:dyDescent="0.25">
      <c r="A19" s="9" t="s">
        <v>82</v>
      </c>
      <c r="B19" s="14" t="s">
        <v>91</v>
      </c>
      <c r="C19" s="9">
        <f t="shared" si="0"/>
        <v>4100</v>
      </c>
      <c r="D19" s="10">
        <v>2</v>
      </c>
      <c r="E19" s="9">
        <v>3</v>
      </c>
    </row>
    <row r="20" spans="1:5" x14ac:dyDescent="0.25">
      <c r="A20" s="9" t="s">
        <v>83</v>
      </c>
      <c r="B20" s="14" t="s">
        <v>92</v>
      </c>
      <c r="C20" s="9">
        <f t="shared" si="0"/>
        <v>4100</v>
      </c>
      <c r="D20" s="10">
        <v>2</v>
      </c>
      <c r="E20" s="9">
        <v>3</v>
      </c>
    </row>
    <row r="21" spans="1:5" x14ac:dyDescent="0.25">
      <c r="A21" s="9" t="s">
        <v>84</v>
      </c>
      <c r="B21" s="14" t="s">
        <v>91</v>
      </c>
      <c r="C21" s="9">
        <f t="shared" si="0"/>
        <v>4100</v>
      </c>
      <c r="D21" s="10">
        <v>2</v>
      </c>
      <c r="E21" s="9">
        <v>3</v>
      </c>
    </row>
    <row r="22" spans="1:5" x14ac:dyDescent="0.25">
      <c r="A22" s="9" t="s">
        <v>85</v>
      </c>
      <c r="B22" s="14" t="s">
        <v>92</v>
      </c>
      <c r="C22" s="9">
        <f t="shared" si="0"/>
        <v>4100</v>
      </c>
      <c r="D22" s="10">
        <v>2</v>
      </c>
      <c r="E22" s="9">
        <v>3</v>
      </c>
    </row>
    <row r="23" spans="1:5" x14ac:dyDescent="0.25">
      <c r="A23" s="9" t="s">
        <v>86</v>
      </c>
      <c r="B23" s="14" t="s">
        <v>91</v>
      </c>
      <c r="C23" s="9">
        <f t="shared" si="0"/>
        <v>4100</v>
      </c>
      <c r="D23" s="10">
        <v>2</v>
      </c>
      <c r="E23" s="9">
        <v>4</v>
      </c>
    </row>
    <row r="24" spans="1:5" x14ac:dyDescent="0.25">
      <c r="A24" s="9" t="s">
        <v>87</v>
      </c>
      <c r="B24" s="14" t="s">
        <v>92</v>
      </c>
      <c r="C24" s="9">
        <f t="shared" si="0"/>
        <v>4100</v>
      </c>
      <c r="D24" s="10">
        <v>2</v>
      </c>
      <c r="E24" s="9">
        <v>4</v>
      </c>
    </row>
    <row r="25" spans="1:5" x14ac:dyDescent="0.25">
      <c r="A25" s="9" t="s">
        <v>88</v>
      </c>
      <c r="B25" s="14" t="s">
        <v>91</v>
      </c>
      <c r="C25" s="9">
        <f t="shared" si="0"/>
        <v>4100</v>
      </c>
      <c r="D25" s="10">
        <v>2</v>
      </c>
      <c r="E25" s="9">
        <v>4</v>
      </c>
    </row>
    <row r="26" spans="1:5" x14ac:dyDescent="0.25">
      <c r="A26" s="9" t="s">
        <v>89</v>
      </c>
      <c r="B26" s="14" t="s">
        <v>96</v>
      </c>
      <c r="C26" s="9">
        <f t="shared" si="0"/>
        <v>4500</v>
      </c>
      <c r="D26" s="10">
        <v>2</v>
      </c>
      <c r="E26" s="9">
        <v>4</v>
      </c>
    </row>
    <row r="27" spans="1:5" x14ac:dyDescent="0.25">
      <c r="A27" s="9" t="s">
        <v>90</v>
      </c>
      <c r="B27" s="14" t="s">
        <v>91</v>
      </c>
      <c r="C27" s="9">
        <f t="shared" si="0"/>
        <v>4100</v>
      </c>
      <c r="D27" s="10">
        <v>2</v>
      </c>
      <c r="E27" s="9">
        <v>4</v>
      </c>
    </row>
    <row r="28" spans="1:5" x14ac:dyDescent="0.25">
      <c r="A28" s="9" t="s">
        <v>99</v>
      </c>
      <c r="B28" s="14" t="s">
        <v>92</v>
      </c>
      <c r="C28" s="9">
        <f t="shared" si="0"/>
        <v>4100</v>
      </c>
      <c r="D28" s="10">
        <v>2</v>
      </c>
      <c r="E28" s="9">
        <v>4</v>
      </c>
    </row>
    <row r="29" spans="1:5" x14ac:dyDescent="0.25">
      <c r="A29" s="9" t="s">
        <v>100</v>
      </c>
      <c r="B29" s="14" t="s">
        <v>91</v>
      </c>
      <c r="C29" s="9">
        <f t="shared" si="0"/>
        <v>4100</v>
      </c>
      <c r="D29" s="10">
        <v>2</v>
      </c>
      <c r="E29" s="9">
        <v>4</v>
      </c>
    </row>
    <row r="30" spans="1:5" x14ac:dyDescent="0.25">
      <c r="A30" s="9" t="s">
        <v>101</v>
      </c>
      <c r="B30" s="14" t="s">
        <v>92</v>
      </c>
      <c r="C30" s="9">
        <f t="shared" si="0"/>
        <v>4100</v>
      </c>
      <c r="D30" s="10">
        <v>2</v>
      </c>
      <c r="E30" s="9">
        <v>4</v>
      </c>
    </row>
    <row r="31" spans="1:5" x14ac:dyDescent="0.25">
      <c r="A31" s="9" t="s">
        <v>102</v>
      </c>
      <c r="B31" s="14" t="s">
        <v>91</v>
      </c>
      <c r="C31" s="9">
        <f t="shared" si="0"/>
        <v>4100</v>
      </c>
      <c r="D31" s="10">
        <v>2</v>
      </c>
      <c r="E31" s="9">
        <v>4</v>
      </c>
    </row>
    <row r="32" spans="1:5" x14ac:dyDescent="0.25">
      <c r="A32" s="9" t="s">
        <v>103</v>
      </c>
      <c r="B32" s="14" t="s">
        <v>92</v>
      </c>
      <c r="C32" s="9">
        <f t="shared" si="0"/>
        <v>4100</v>
      </c>
      <c r="D32" s="10">
        <v>2</v>
      </c>
      <c r="E32" s="9">
        <v>5</v>
      </c>
    </row>
    <row r="33" spans="1:5" x14ac:dyDescent="0.25">
      <c r="A33" s="9" t="s">
        <v>104</v>
      </c>
      <c r="B33" s="14" t="s">
        <v>96</v>
      </c>
      <c r="C33" s="9">
        <f t="shared" si="0"/>
        <v>4500</v>
      </c>
      <c r="D33" s="10">
        <v>2</v>
      </c>
      <c r="E33" s="9">
        <v>5</v>
      </c>
    </row>
    <row r="34" spans="1:5" x14ac:dyDescent="0.25">
      <c r="A34" s="9" t="s">
        <v>105</v>
      </c>
      <c r="B34" s="14" t="s">
        <v>92</v>
      </c>
      <c r="C34" s="9">
        <f t="shared" si="0"/>
        <v>4100</v>
      </c>
      <c r="D34" s="10">
        <v>2</v>
      </c>
      <c r="E34" s="9">
        <v>5</v>
      </c>
    </row>
    <row r="35" spans="1:5" x14ac:dyDescent="0.25">
      <c r="A35" s="9" t="s">
        <v>106</v>
      </c>
      <c r="B35" s="14" t="s">
        <v>91</v>
      </c>
      <c r="C35" s="9">
        <f t="shared" si="0"/>
        <v>4100</v>
      </c>
      <c r="D35" s="10">
        <v>2</v>
      </c>
      <c r="E35" s="9">
        <v>5</v>
      </c>
    </row>
    <row r="36" spans="1:5" x14ac:dyDescent="0.25">
      <c r="A36" s="9" t="s">
        <v>107</v>
      </c>
      <c r="B36" s="14" t="s">
        <v>92</v>
      </c>
      <c r="C36" s="9">
        <f t="shared" si="0"/>
        <v>4100</v>
      </c>
      <c r="D36" s="10">
        <v>2</v>
      </c>
      <c r="E36" s="9">
        <v>5</v>
      </c>
    </row>
    <row r="37" spans="1:5" x14ac:dyDescent="0.25">
      <c r="A37" s="9" t="s">
        <v>108</v>
      </c>
      <c r="B37" s="14" t="s">
        <v>94</v>
      </c>
      <c r="C37" s="9">
        <f t="shared" si="0"/>
        <v>9600</v>
      </c>
      <c r="D37" s="10">
        <v>2</v>
      </c>
      <c r="E37" s="9">
        <v>8</v>
      </c>
    </row>
    <row r="38" spans="1:5" x14ac:dyDescent="0.25">
      <c r="A38" s="9" t="s">
        <v>109</v>
      </c>
      <c r="B38" s="14" t="s">
        <v>92</v>
      </c>
      <c r="C38" s="9">
        <f t="shared" si="0"/>
        <v>4100</v>
      </c>
      <c r="D38" s="10">
        <v>2</v>
      </c>
      <c r="E38" s="9">
        <v>5</v>
      </c>
    </row>
    <row r="39" spans="1:5" x14ac:dyDescent="0.25">
      <c r="A39" s="9" t="s">
        <v>110</v>
      </c>
      <c r="B39" s="14" t="s">
        <v>91</v>
      </c>
      <c r="C39" s="9">
        <f t="shared" si="0"/>
        <v>4100</v>
      </c>
      <c r="D39" s="10">
        <v>2</v>
      </c>
      <c r="E39" s="9">
        <v>5</v>
      </c>
    </row>
    <row r="40" spans="1:5" x14ac:dyDescent="0.25">
      <c r="A40" s="9" t="s">
        <v>111</v>
      </c>
      <c r="B40" s="14" t="s">
        <v>96</v>
      </c>
      <c r="C40" s="9">
        <f t="shared" si="0"/>
        <v>4500</v>
      </c>
      <c r="D40" s="10">
        <v>2</v>
      </c>
      <c r="E40" s="9">
        <v>5</v>
      </c>
    </row>
    <row r="41" spans="1:5" x14ac:dyDescent="0.25">
      <c r="A41" s="9" t="s">
        <v>112</v>
      </c>
      <c r="B41" s="14" t="s">
        <v>96</v>
      </c>
      <c r="C41" s="9">
        <f t="shared" si="0"/>
        <v>4500</v>
      </c>
      <c r="D41" s="10">
        <v>2</v>
      </c>
      <c r="E41" s="9">
        <v>5</v>
      </c>
    </row>
    <row r="42" spans="1:5" x14ac:dyDescent="0.25">
      <c r="A42" s="9" t="s">
        <v>113</v>
      </c>
      <c r="B42" s="14" t="s">
        <v>92</v>
      </c>
      <c r="C42" s="9">
        <f t="shared" si="0"/>
        <v>4100</v>
      </c>
      <c r="D42" s="10">
        <v>2</v>
      </c>
      <c r="E42" s="9">
        <v>5</v>
      </c>
    </row>
    <row r="43" spans="1:5" x14ac:dyDescent="0.25">
      <c r="A43" s="9" t="s">
        <v>114</v>
      </c>
      <c r="B43" s="14" t="s">
        <v>91</v>
      </c>
      <c r="C43" s="9">
        <f t="shared" si="0"/>
        <v>4100</v>
      </c>
      <c r="D43" s="10">
        <v>2</v>
      </c>
      <c r="E43" s="9">
        <v>6</v>
      </c>
    </row>
    <row r="44" spans="1:5" x14ac:dyDescent="0.25">
      <c r="A44" s="9" t="s">
        <v>115</v>
      </c>
      <c r="B44" s="14" t="s">
        <v>92</v>
      </c>
      <c r="C44" s="9">
        <f t="shared" si="0"/>
        <v>4100</v>
      </c>
      <c r="D44" s="10">
        <v>2</v>
      </c>
      <c r="E44" s="9">
        <v>6</v>
      </c>
    </row>
    <row r="45" spans="1:5" x14ac:dyDescent="0.25">
      <c r="A45" s="9" t="s">
        <v>116</v>
      </c>
      <c r="B45" s="14" t="s">
        <v>96</v>
      </c>
      <c r="C45" s="9">
        <f t="shared" si="0"/>
        <v>4500</v>
      </c>
      <c r="D45" s="10">
        <v>2</v>
      </c>
      <c r="E45" s="9">
        <v>6</v>
      </c>
    </row>
    <row r="46" spans="1:5" x14ac:dyDescent="0.25">
      <c r="A46" s="9" t="s">
        <v>117</v>
      </c>
      <c r="B46" s="14" t="s">
        <v>92</v>
      </c>
      <c r="C46" s="9">
        <f t="shared" si="0"/>
        <v>4100</v>
      </c>
      <c r="D46" s="10">
        <v>2</v>
      </c>
      <c r="E46" s="9">
        <v>6</v>
      </c>
    </row>
    <row r="47" spans="1:5" x14ac:dyDescent="0.25">
      <c r="A47" s="9" t="s">
        <v>118</v>
      </c>
      <c r="B47" s="14" t="s">
        <v>91</v>
      </c>
      <c r="C47" s="9">
        <f t="shared" si="0"/>
        <v>4100</v>
      </c>
      <c r="D47" s="10">
        <v>2</v>
      </c>
      <c r="E47" s="9">
        <v>6</v>
      </c>
    </row>
    <row r="48" spans="1:5" x14ac:dyDescent="0.25">
      <c r="A48" s="9" t="s">
        <v>119</v>
      </c>
      <c r="B48" s="14" t="s">
        <v>92</v>
      </c>
      <c r="C48" s="9">
        <f t="shared" si="0"/>
        <v>4100</v>
      </c>
      <c r="D48" s="10">
        <v>2</v>
      </c>
      <c r="E48" s="9">
        <v>6</v>
      </c>
    </row>
    <row r="49" spans="1:5" x14ac:dyDescent="0.25">
      <c r="A49" s="9" t="s">
        <v>120</v>
      </c>
      <c r="B49" s="14" t="s">
        <v>91</v>
      </c>
      <c r="C49" s="9">
        <f t="shared" si="0"/>
        <v>4100</v>
      </c>
      <c r="D49" s="10">
        <v>2</v>
      </c>
      <c r="E49" s="9">
        <v>6</v>
      </c>
    </row>
    <row r="50" spans="1:5" x14ac:dyDescent="0.25">
      <c r="A50" s="9" t="s">
        <v>121</v>
      </c>
      <c r="B50" s="14" t="s">
        <v>92</v>
      </c>
      <c r="C50" s="9">
        <f t="shared" si="0"/>
        <v>4100</v>
      </c>
      <c r="D50" s="10">
        <v>2</v>
      </c>
      <c r="E50" s="9">
        <v>6</v>
      </c>
    </row>
    <row r="51" spans="1:5" x14ac:dyDescent="0.25">
      <c r="A51" s="9" t="s">
        <v>122</v>
      </c>
      <c r="B51" s="14" t="s">
        <v>96</v>
      </c>
      <c r="C51" s="9">
        <f t="shared" si="0"/>
        <v>4500</v>
      </c>
      <c r="D51" s="10">
        <v>2</v>
      </c>
      <c r="E51" s="9">
        <v>6</v>
      </c>
    </row>
    <row r="52" spans="1:5" x14ac:dyDescent="0.25">
      <c r="A52" s="9" t="s">
        <v>123</v>
      </c>
      <c r="B52" s="14" t="s">
        <v>92</v>
      </c>
      <c r="C52" s="9">
        <f t="shared" si="0"/>
        <v>4100</v>
      </c>
      <c r="D52" s="10">
        <v>2</v>
      </c>
      <c r="E52" s="9">
        <v>7</v>
      </c>
    </row>
    <row r="53" spans="1:5" x14ac:dyDescent="0.25">
      <c r="A53" s="9" t="s">
        <v>124</v>
      </c>
      <c r="B53" s="14" t="s">
        <v>91</v>
      </c>
      <c r="C53" s="9">
        <f t="shared" si="0"/>
        <v>4100</v>
      </c>
      <c r="D53" s="10">
        <v>2</v>
      </c>
      <c r="E53" s="9">
        <v>7</v>
      </c>
    </row>
    <row r="54" spans="1:5" x14ac:dyDescent="0.25">
      <c r="A54" s="9" t="s">
        <v>125</v>
      </c>
      <c r="B54" s="14" t="s">
        <v>92</v>
      </c>
      <c r="C54" s="9">
        <f t="shared" si="0"/>
        <v>4100</v>
      </c>
      <c r="D54" s="10">
        <v>2</v>
      </c>
      <c r="E54" s="9">
        <v>7</v>
      </c>
    </row>
    <row r="55" spans="1:5" x14ac:dyDescent="0.25">
      <c r="A55" s="9" t="s">
        <v>126</v>
      </c>
      <c r="B55" s="14" t="s">
        <v>91</v>
      </c>
      <c r="C55" s="9">
        <f t="shared" si="0"/>
        <v>4100</v>
      </c>
      <c r="D55" s="10">
        <v>2</v>
      </c>
      <c r="E55" s="9">
        <v>7</v>
      </c>
    </row>
    <row r="56" spans="1:5" x14ac:dyDescent="0.25">
      <c r="A56" s="9" t="s">
        <v>127</v>
      </c>
      <c r="B56" s="14" t="s">
        <v>92</v>
      </c>
      <c r="C56" s="9">
        <f t="shared" si="0"/>
        <v>4100</v>
      </c>
      <c r="D56" s="10">
        <v>2</v>
      </c>
      <c r="E56" s="9">
        <v>7</v>
      </c>
    </row>
    <row r="57" spans="1:5" x14ac:dyDescent="0.25">
      <c r="A57" s="9" t="s">
        <v>128</v>
      </c>
      <c r="B57" s="14" t="s">
        <v>96</v>
      </c>
      <c r="C57" s="9">
        <f t="shared" si="0"/>
        <v>4500</v>
      </c>
      <c r="D57" s="10">
        <v>2</v>
      </c>
      <c r="E57" s="9">
        <v>7</v>
      </c>
    </row>
    <row r="58" spans="1:5" x14ac:dyDescent="0.25">
      <c r="A58" s="9" t="s">
        <v>129</v>
      </c>
      <c r="B58" s="14" t="s">
        <v>96</v>
      </c>
      <c r="C58" s="9">
        <f t="shared" si="0"/>
        <v>4500</v>
      </c>
      <c r="D58" s="10">
        <v>2</v>
      </c>
      <c r="E58" s="9">
        <v>7</v>
      </c>
    </row>
    <row r="59" spans="1:5" x14ac:dyDescent="0.25">
      <c r="A59" s="9" t="s">
        <v>130</v>
      </c>
      <c r="B59" s="14" t="s">
        <v>96</v>
      </c>
      <c r="C59" s="9">
        <f t="shared" si="0"/>
        <v>4500</v>
      </c>
      <c r="D59" s="10">
        <v>2</v>
      </c>
      <c r="E59" s="9">
        <v>7</v>
      </c>
    </row>
    <row r="60" spans="1:5" x14ac:dyDescent="0.25">
      <c r="A60" s="9" t="s">
        <v>131</v>
      </c>
      <c r="B60" s="14" t="s">
        <v>96</v>
      </c>
      <c r="C60" s="9">
        <f t="shared" si="0"/>
        <v>4500</v>
      </c>
      <c r="D60" s="10">
        <v>2</v>
      </c>
      <c r="E60" s="9">
        <v>7</v>
      </c>
    </row>
    <row r="61" spans="1:5" x14ac:dyDescent="0.25">
      <c r="A61" s="9" t="s">
        <v>132</v>
      </c>
      <c r="B61" s="14" t="s">
        <v>91</v>
      </c>
      <c r="C61" s="9">
        <f t="shared" si="0"/>
        <v>4100</v>
      </c>
      <c r="D61" s="10">
        <v>2</v>
      </c>
      <c r="E61" s="9">
        <v>7</v>
      </c>
    </row>
    <row r="62" spans="1:5" x14ac:dyDescent="0.25">
      <c r="A62" s="9" t="s">
        <v>133</v>
      </c>
      <c r="B62" s="14" t="s">
        <v>93</v>
      </c>
      <c r="C62" s="9">
        <f t="shared" si="0"/>
        <v>7550</v>
      </c>
      <c r="D62" s="10">
        <v>2</v>
      </c>
      <c r="E62" s="9">
        <v>8</v>
      </c>
    </row>
    <row r="63" spans="1:5" x14ac:dyDescent="0.25">
      <c r="A63" s="9" t="s">
        <v>134</v>
      </c>
      <c r="B63" s="14" t="s">
        <v>96</v>
      </c>
      <c r="C63" s="9">
        <f t="shared" si="0"/>
        <v>4500</v>
      </c>
      <c r="D63" s="10">
        <v>2</v>
      </c>
      <c r="E63" s="9">
        <v>8</v>
      </c>
    </row>
    <row r="64" spans="1:5" x14ac:dyDescent="0.25">
      <c r="A64" s="9" t="s">
        <v>135</v>
      </c>
      <c r="B64" s="14" t="s">
        <v>92</v>
      </c>
      <c r="C64" s="9">
        <f t="shared" si="0"/>
        <v>4100</v>
      </c>
      <c r="D64" s="10">
        <v>2</v>
      </c>
      <c r="E64" s="9">
        <v>3</v>
      </c>
    </row>
    <row r="65" spans="1:5" x14ac:dyDescent="0.25">
      <c r="A65" s="9" t="s">
        <v>136</v>
      </c>
      <c r="B65" s="14" t="s">
        <v>91</v>
      </c>
      <c r="C65" s="9">
        <f t="shared" si="0"/>
        <v>4100</v>
      </c>
      <c r="D65" s="10">
        <v>2</v>
      </c>
      <c r="E65" s="9">
        <v>3</v>
      </c>
    </row>
    <row r="66" spans="1:5" x14ac:dyDescent="0.25">
      <c r="A66" s="9" t="s">
        <v>137</v>
      </c>
      <c r="B66" s="14" t="s">
        <v>92</v>
      </c>
      <c r="C66" s="9">
        <f t="shared" si="0"/>
        <v>4100</v>
      </c>
      <c r="D66" s="10">
        <v>2</v>
      </c>
      <c r="E66" s="9">
        <v>8</v>
      </c>
    </row>
    <row r="67" spans="1:5" x14ac:dyDescent="0.25">
      <c r="A67" s="9" t="s">
        <v>138</v>
      </c>
      <c r="B67" s="14" t="s">
        <v>91</v>
      </c>
      <c r="C67" s="9">
        <f t="shared" ref="C67:C80" si="1">IF(B67="Стандарт (DBL)",4100, IF(B67="Стандарт (TWIN)",4100, IF(B67="Комфорт (JSDB)",4500, IF(B67="Люкс (SUITE)",7550, IF(B67="Президентский (PRES)",9600)))))</f>
        <v>4100</v>
      </c>
      <c r="D67" s="10">
        <v>2</v>
      </c>
      <c r="E67" s="9">
        <v>5</v>
      </c>
    </row>
    <row r="68" spans="1:5" x14ac:dyDescent="0.25">
      <c r="A68" s="9" t="s">
        <v>139</v>
      </c>
      <c r="B68" s="14" t="s">
        <v>92</v>
      </c>
      <c r="C68" s="9">
        <f t="shared" si="1"/>
        <v>4100</v>
      </c>
      <c r="D68" s="10">
        <v>2</v>
      </c>
      <c r="E68" s="9">
        <v>3</v>
      </c>
    </row>
    <row r="69" spans="1:5" x14ac:dyDescent="0.25">
      <c r="A69" s="9" t="s">
        <v>140</v>
      </c>
      <c r="B69" s="14" t="s">
        <v>96</v>
      </c>
      <c r="C69" s="9">
        <f t="shared" si="1"/>
        <v>4500</v>
      </c>
      <c r="D69" s="10">
        <v>2</v>
      </c>
      <c r="E69" s="9">
        <v>6</v>
      </c>
    </row>
    <row r="70" spans="1:5" x14ac:dyDescent="0.25">
      <c r="A70" s="9" t="s">
        <v>141</v>
      </c>
      <c r="B70" s="14" t="s">
        <v>92</v>
      </c>
      <c r="C70" s="9">
        <f t="shared" si="1"/>
        <v>4100</v>
      </c>
      <c r="D70" s="10">
        <v>2</v>
      </c>
      <c r="E70" s="9">
        <v>8</v>
      </c>
    </row>
    <row r="71" spans="1:5" x14ac:dyDescent="0.25">
      <c r="A71" s="9" t="s">
        <v>142</v>
      </c>
      <c r="B71" s="14" t="s">
        <v>96</v>
      </c>
      <c r="C71" s="9">
        <f t="shared" si="1"/>
        <v>4500</v>
      </c>
      <c r="D71" s="10">
        <v>2</v>
      </c>
      <c r="E71" s="9">
        <v>7</v>
      </c>
    </row>
    <row r="72" spans="1:5" x14ac:dyDescent="0.25">
      <c r="A72" s="9" t="s">
        <v>143</v>
      </c>
      <c r="B72" s="14" t="s">
        <v>93</v>
      </c>
      <c r="C72" s="9">
        <f t="shared" si="1"/>
        <v>7550</v>
      </c>
      <c r="D72" s="10">
        <v>2</v>
      </c>
      <c r="E72" s="9">
        <v>8</v>
      </c>
    </row>
    <row r="73" spans="1:5" x14ac:dyDescent="0.25">
      <c r="A73" s="9" t="s">
        <v>144</v>
      </c>
      <c r="B73" s="14" t="s">
        <v>91</v>
      </c>
      <c r="C73" s="9">
        <f t="shared" si="1"/>
        <v>4100</v>
      </c>
      <c r="D73" s="10">
        <v>2</v>
      </c>
      <c r="E73" s="9">
        <v>2</v>
      </c>
    </row>
    <row r="74" spans="1:5" x14ac:dyDescent="0.25">
      <c r="A74" s="9" t="s">
        <v>145</v>
      </c>
      <c r="B74" s="14" t="s">
        <v>96</v>
      </c>
      <c r="C74" s="9">
        <f t="shared" si="1"/>
        <v>4500</v>
      </c>
      <c r="D74" s="10">
        <v>2</v>
      </c>
      <c r="E74" s="9">
        <v>3</v>
      </c>
    </row>
    <row r="75" spans="1:5" x14ac:dyDescent="0.25">
      <c r="A75" s="9" t="s">
        <v>146</v>
      </c>
      <c r="B75" s="14" t="s">
        <v>91</v>
      </c>
      <c r="C75" s="9">
        <f t="shared" si="1"/>
        <v>4100</v>
      </c>
      <c r="D75" s="10">
        <v>2</v>
      </c>
      <c r="E75" s="9">
        <v>4</v>
      </c>
    </row>
    <row r="76" spans="1:5" x14ac:dyDescent="0.25">
      <c r="A76" s="9" t="s">
        <v>147</v>
      </c>
      <c r="B76" s="14" t="s">
        <v>92</v>
      </c>
      <c r="C76" s="9">
        <f t="shared" si="1"/>
        <v>4100</v>
      </c>
      <c r="D76" s="10">
        <v>2</v>
      </c>
      <c r="E76" s="9">
        <v>5</v>
      </c>
    </row>
    <row r="77" spans="1:5" x14ac:dyDescent="0.25">
      <c r="A77" s="9" t="s">
        <v>148</v>
      </c>
      <c r="B77" s="14" t="s">
        <v>91</v>
      </c>
      <c r="C77" s="9">
        <f t="shared" si="1"/>
        <v>4100</v>
      </c>
      <c r="D77" s="10">
        <v>2</v>
      </c>
      <c r="E77" s="9">
        <v>3</v>
      </c>
    </row>
    <row r="78" spans="1:5" x14ac:dyDescent="0.25">
      <c r="A78" s="9" t="s">
        <v>149</v>
      </c>
      <c r="B78" s="14" t="s">
        <v>96</v>
      </c>
      <c r="C78" s="9">
        <f t="shared" si="1"/>
        <v>4500</v>
      </c>
      <c r="D78" s="10">
        <v>2</v>
      </c>
      <c r="E78" s="9">
        <v>4</v>
      </c>
    </row>
    <row r="79" spans="1:5" x14ac:dyDescent="0.25">
      <c r="A79" s="9" t="s">
        <v>150</v>
      </c>
      <c r="B79" s="14" t="s">
        <v>91</v>
      </c>
      <c r="C79" s="9">
        <f t="shared" si="1"/>
        <v>4100</v>
      </c>
      <c r="D79" s="10">
        <v>2</v>
      </c>
      <c r="E79" s="9">
        <v>5</v>
      </c>
    </row>
    <row r="80" spans="1:5" x14ac:dyDescent="0.25">
      <c r="A80" s="9" t="s">
        <v>151</v>
      </c>
      <c r="B80" s="14" t="s">
        <v>96</v>
      </c>
      <c r="C80" s="9">
        <f t="shared" si="1"/>
        <v>4500</v>
      </c>
      <c r="D80" s="10">
        <v>2</v>
      </c>
      <c r="E80" s="9">
        <v>4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>
      <selection activeCell="C10" sqref="C10"/>
    </sheetView>
  </sheetViews>
  <sheetFormatPr defaultRowHeight="15" x14ac:dyDescent="0.25"/>
  <cols>
    <col min="1" max="1" width="31.7109375" customWidth="1"/>
    <col min="2" max="2" width="24.140625" bestFit="1" customWidth="1"/>
    <col min="4" max="4" width="22.85546875" bestFit="1" customWidth="1"/>
    <col min="5" max="5" width="23.28515625" customWidth="1"/>
    <col min="6" max="6" width="13.5703125" bestFit="1" customWidth="1"/>
    <col min="7" max="7" width="24.7109375" bestFit="1" customWidth="1"/>
    <col min="8" max="8" width="29" bestFit="1" customWidth="1"/>
    <col min="9" max="9" width="30.140625" bestFit="1" customWidth="1"/>
    <col min="11" max="11" width="31.7109375" bestFit="1" customWidth="1"/>
    <col min="12" max="12" width="24.140625" bestFit="1" customWidth="1"/>
  </cols>
  <sheetData>
    <row r="1" spans="1:6" x14ac:dyDescent="0.25">
      <c r="A1" s="30" t="s">
        <v>218</v>
      </c>
      <c r="B1" s="15" t="s">
        <v>215</v>
      </c>
      <c r="D1" s="32" t="s">
        <v>219</v>
      </c>
      <c r="E1" s="1" t="s">
        <v>215</v>
      </c>
    </row>
    <row r="2" spans="1:6" x14ac:dyDescent="0.25">
      <c r="A2" s="31" t="s">
        <v>96</v>
      </c>
      <c r="B2" s="15">
        <v>274500</v>
      </c>
      <c r="D2" s="31" t="s">
        <v>216</v>
      </c>
      <c r="E2" s="15">
        <v>330200</v>
      </c>
    </row>
    <row r="3" spans="1:6" x14ac:dyDescent="0.25">
      <c r="A3" s="31" t="s">
        <v>93</v>
      </c>
      <c r="B3" s="15">
        <v>22650</v>
      </c>
      <c r="D3" s="31" t="s">
        <v>217</v>
      </c>
      <c r="E3" s="15">
        <v>430250</v>
      </c>
    </row>
    <row r="4" spans="1:6" x14ac:dyDescent="0.25">
      <c r="A4" s="31" t="s">
        <v>91</v>
      </c>
      <c r="B4" s="15">
        <v>225500</v>
      </c>
      <c r="D4" s="31" t="s">
        <v>214</v>
      </c>
      <c r="E4" s="15">
        <v>760450</v>
      </c>
    </row>
    <row r="5" spans="1:6" x14ac:dyDescent="0.25">
      <c r="A5" s="31" t="s">
        <v>92</v>
      </c>
      <c r="B5" s="15">
        <v>237800</v>
      </c>
    </row>
    <row r="6" spans="1:6" x14ac:dyDescent="0.25">
      <c r="A6" s="31" t="s">
        <v>214</v>
      </c>
      <c r="B6" s="15">
        <v>760450</v>
      </c>
    </row>
    <row r="14" spans="1:6" x14ac:dyDescent="0.25">
      <c r="A14" s="30" t="s">
        <v>223</v>
      </c>
      <c r="B14" s="1" t="s">
        <v>215</v>
      </c>
      <c r="D14" s="30" t="s">
        <v>220</v>
      </c>
      <c r="E14" s="1" t="s">
        <v>222</v>
      </c>
      <c r="F14" s="4" t="s">
        <v>221</v>
      </c>
    </row>
    <row r="15" spans="1:6" x14ac:dyDescent="0.25">
      <c r="A15" s="31" t="s">
        <v>50</v>
      </c>
      <c r="B15" s="15">
        <v>95800</v>
      </c>
      <c r="D15" s="31" t="s">
        <v>208</v>
      </c>
      <c r="E15" s="6">
        <v>1</v>
      </c>
      <c r="F15" s="33">
        <v>1.8867924528301886E-2</v>
      </c>
    </row>
    <row r="16" spans="1:6" x14ac:dyDescent="0.25">
      <c r="A16" s="31" t="s">
        <v>56</v>
      </c>
      <c r="B16" s="15">
        <v>92600</v>
      </c>
      <c r="D16" s="31" t="s">
        <v>207</v>
      </c>
      <c r="E16" s="6">
        <v>38</v>
      </c>
      <c r="F16" s="33">
        <v>0.71698113207547165</v>
      </c>
    </row>
    <row r="17" spans="1:6" x14ac:dyDescent="0.25">
      <c r="A17" s="31" t="s">
        <v>63</v>
      </c>
      <c r="B17" s="15">
        <v>70100</v>
      </c>
      <c r="D17" s="31" t="s">
        <v>206</v>
      </c>
      <c r="E17" s="6">
        <v>14</v>
      </c>
      <c r="F17" s="33">
        <v>0.26415094339622641</v>
      </c>
    </row>
    <row r="18" spans="1:6" x14ac:dyDescent="0.25">
      <c r="A18" s="31" t="s">
        <v>49</v>
      </c>
      <c r="B18" s="15">
        <v>58500</v>
      </c>
      <c r="D18" s="31" t="s">
        <v>214</v>
      </c>
      <c r="E18" s="6">
        <v>53</v>
      </c>
      <c r="F18" s="33">
        <v>1</v>
      </c>
    </row>
    <row r="19" spans="1:6" x14ac:dyDescent="0.25">
      <c r="A19" s="31" t="s">
        <v>57</v>
      </c>
      <c r="B19" s="15">
        <v>45100</v>
      </c>
    </row>
    <row r="20" spans="1:6" x14ac:dyDescent="0.25">
      <c r="A20" s="31" t="s">
        <v>55</v>
      </c>
      <c r="B20" s="15">
        <v>45100</v>
      </c>
    </row>
    <row r="21" spans="1:6" x14ac:dyDescent="0.25">
      <c r="A21" s="31" t="s">
        <v>65</v>
      </c>
      <c r="B21" s="15">
        <v>44200</v>
      </c>
    </row>
    <row r="22" spans="1:6" x14ac:dyDescent="0.25">
      <c r="A22" s="31" t="s">
        <v>61</v>
      </c>
      <c r="B22" s="15">
        <v>43150</v>
      </c>
    </row>
    <row r="23" spans="1:6" x14ac:dyDescent="0.25">
      <c r="A23" s="31" t="s">
        <v>47</v>
      </c>
      <c r="B23" s="15">
        <v>42600</v>
      </c>
    </row>
    <row r="24" spans="1:6" x14ac:dyDescent="0.25">
      <c r="A24" s="31" t="s">
        <v>58</v>
      </c>
      <c r="B24" s="15">
        <v>41000</v>
      </c>
    </row>
    <row r="25" spans="1:6" x14ac:dyDescent="0.25">
      <c r="A25" s="31" t="s">
        <v>51</v>
      </c>
      <c r="B25" s="15">
        <v>37300</v>
      </c>
    </row>
    <row r="26" spans="1:6" x14ac:dyDescent="0.25">
      <c r="A26" s="31" t="s">
        <v>48</v>
      </c>
      <c r="B26" s="15">
        <v>33600</v>
      </c>
    </row>
    <row r="27" spans="1:6" x14ac:dyDescent="0.25">
      <c r="A27" s="31" t="s">
        <v>53</v>
      </c>
      <c r="B27" s="15">
        <v>31500</v>
      </c>
    </row>
    <row r="28" spans="1:6" x14ac:dyDescent="0.25">
      <c r="A28" s="31" t="s">
        <v>64</v>
      </c>
      <c r="B28" s="15">
        <v>26200</v>
      </c>
    </row>
    <row r="29" spans="1:6" x14ac:dyDescent="0.25">
      <c r="A29" s="31" t="s">
        <v>54</v>
      </c>
      <c r="B29" s="15">
        <v>25000</v>
      </c>
    </row>
    <row r="30" spans="1:6" x14ac:dyDescent="0.25">
      <c r="A30" s="31" t="s">
        <v>59</v>
      </c>
      <c r="B30" s="15">
        <v>20500</v>
      </c>
    </row>
    <row r="31" spans="1:6" x14ac:dyDescent="0.25">
      <c r="A31" s="31" t="s">
        <v>62</v>
      </c>
      <c r="B31" s="15">
        <v>8200</v>
      </c>
    </row>
    <row r="32" spans="1:6" x14ac:dyDescent="0.25">
      <c r="A32" s="31" t="s">
        <v>214</v>
      </c>
      <c r="B32" s="15">
        <v>760450</v>
      </c>
    </row>
  </sheetData>
  <pageMargins left="0.7" right="0.7" top="0.75" bottom="0.75" header="0.3" footer="0.3"/>
  <pageSetup paperSize="9" orientation="portrait"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sqref="A1:B1"/>
    </sheetView>
  </sheetViews>
  <sheetFormatPr defaultRowHeight="15" x14ac:dyDescent="0.25"/>
  <cols>
    <col min="1" max="1" width="28.140625" bestFit="1" customWidth="1"/>
  </cols>
  <sheetData>
    <row r="1" spans="1:2" ht="22.5" customHeight="1" x14ac:dyDescent="0.25">
      <c r="A1" s="46" t="s">
        <v>224</v>
      </c>
      <c r="B1" s="46"/>
    </row>
    <row r="2" spans="1:2" x14ac:dyDescent="0.25">
      <c r="A2" s="34" t="s">
        <v>225</v>
      </c>
      <c r="B2" s="35">
        <f>GETPIVOTDATA("Выручка",Анализ!$D$1)</f>
        <v>760450</v>
      </c>
    </row>
    <row r="3" spans="1:2" x14ac:dyDescent="0.25">
      <c r="A3" s="1" t="s">
        <v>226</v>
      </c>
      <c r="B3" s="1">
        <f>GETPIVOTDATA("Количество_броней",Анализ!$D$14)</f>
        <v>53</v>
      </c>
    </row>
    <row r="4" spans="1:2" x14ac:dyDescent="0.25">
      <c r="A4" s="36" t="s">
        <v>227</v>
      </c>
      <c r="B4" s="37">
        <f>GETPIVOTDATA("Доля_Статуса",Анализ!$D$14,"Статус","Отмена")</f>
        <v>0.26415094339622641</v>
      </c>
    </row>
    <row r="5" spans="1:2" x14ac:dyDescent="0.25">
      <c r="A5" s="38" t="s">
        <v>228</v>
      </c>
      <c r="B5" s="39">
        <f>B2/B3</f>
        <v>14348.113207547171</v>
      </c>
    </row>
  </sheetData>
  <mergeCells count="1">
    <mergeCell ref="A1:B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Бронирование</vt:lpstr>
      <vt:lpstr>Гости</vt:lpstr>
      <vt:lpstr>Номера</vt:lpstr>
      <vt:lpstr>Анализ</vt:lpstr>
      <vt:lpstr>Дашборд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2026-03-02T18:21:58Z</dcterms:modified>
</cp:coreProperties>
</file>